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g\myProjects\GitHub\YahooXL\"/>
    </mc:Choice>
  </mc:AlternateContent>
  <xr:revisionPtr revIDLastSave="0" documentId="13_ncr:1_{D7C6C75F-265B-49BE-AB10-0E5357D2AB38}" xr6:coauthVersionLast="47" xr6:coauthVersionMax="47" xr10:uidLastSave="{00000000-0000-0000-0000-000000000000}"/>
  <bookViews>
    <workbookView xWindow="1886" yWindow="1886" windowWidth="24685" windowHeight="13594" xr2:uid="{00000000-000D-0000-FFFF-FFFF00000000}"/>
  </bookViews>
  <sheets>
    <sheet name="Parameters" sheetId="3" r:id="rId1"/>
    <sheet name="Properties" sheetId="1" r:id="rId2"/>
    <sheet name="Example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3" l="1" a="1"/>
  <c r="D9" i="3" s="1"/>
  <c r="D8" i="3" a="1"/>
  <c r="D8" i="3" s="1"/>
  <c r="D5" i="3" a="1"/>
  <c r="D5" i="3" s="1"/>
  <c r="D2" i="3" a="1"/>
  <c r="D2" i="3" s="1"/>
  <c r="D3" i="3" a="1"/>
  <c r="D3" i="3" s="1"/>
  <c r="E9" i="1" a="1"/>
  <c r="E9" i="1"/>
  <c r="E8" i="1" a="1"/>
  <c r="E8" i="1" s="1"/>
  <c r="E7" i="1" a="1"/>
  <c r="E6" i="1" a="1"/>
  <c r="E5" i="1" a="1"/>
  <c r="E7" i="1" l="1"/>
  <c r="E6" i="1"/>
  <c r="E5" i="1"/>
  <c r="A24" i="1"/>
  <c r="A25" i="1"/>
  <c r="B17" i="1"/>
  <c r="B9" i="1"/>
  <c r="B8" i="1"/>
  <c r="B15" i="1"/>
  <c r="B22" i="1"/>
  <c r="B6" i="1"/>
  <c r="B21" i="1"/>
  <c r="B20" i="1"/>
  <c r="B11" i="1"/>
  <c r="B16" i="1"/>
  <c r="B23" i="1"/>
  <c r="B7" i="1"/>
  <c r="B14" i="1"/>
  <c r="B5" i="1"/>
  <c r="B12" i="1"/>
  <c r="B10" i="1"/>
  <c r="B19" i="1"/>
  <c r="B18" i="1"/>
  <c r="B13" i="1"/>
  <c r="B4" i="1"/>
  <c r="B3" i="1"/>
  <c r="B2" i="1"/>
  <c r="D17" i="3" a="1"/>
  <c r="D20" i="3" a="1"/>
  <c r="D16" i="3" a="1"/>
  <c r="D11" i="3" a="1"/>
  <c r="D10" i="3" a="1"/>
  <c r="D7" i="3" a="1"/>
  <c r="D6" i="3" a="1"/>
  <c r="B24" i="1"/>
  <c r="B25" i="1"/>
  <c r="D14" i="3" a="1"/>
  <c r="D21" i="3" a="1"/>
  <c r="H3" i="2"/>
  <c r="H4" i="2"/>
  <c r="F3" i="2"/>
  <c r="D18" i="3" a="1"/>
  <c r="D13" i="3" a="1"/>
  <c r="G4" i="2"/>
  <c r="D12" i="3" a="1"/>
  <c r="D15" i="3" a="1"/>
  <c r="D19" i="3" a="1"/>
  <c r="D14" i="3" l="1"/>
  <c r="D7" i="3"/>
  <c r="D15" i="3"/>
  <c r="D12" i="3"/>
  <c r="D21" i="3"/>
  <c r="D10" i="3"/>
  <c r="D18" i="3"/>
  <c r="D11" i="3"/>
  <c r="D19" i="3"/>
  <c r="D16" i="3"/>
  <c r="D20" i="3"/>
  <c r="D13" i="3"/>
  <c r="D17" i="3"/>
  <c r="D6" i="3"/>
  <c r="A3" i="1"/>
  <c r="A4" i="1" s="1"/>
  <c r="A5" i="1" s="1"/>
  <c r="A6" i="1" s="1"/>
  <c r="A7" i="1" s="1"/>
  <c r="A8" i="1" s="1"/>
  <c r="D4" i="3" a="1"/>
  <c r="G3" i="2"/>
  <c r="C7" i="2"/>
  <c r="C8" i="2"/>
  <c r="D5" i="2"/>
  <c r="C6" i="2"/>
  <c r="F5" i="2"/>
  <c r="B3" i="2"/>
  <c r="E4" i="2"/>
  <c r="D3" i="2"/>
  <c r="E3" i="2"/>
  <c r="K5" i="2"/>
  <c r="D4" i="2"/>
  <c r="C7" i="1"/>
  <c r="I7" i="2"/>
  <c r="E6" i="2"/>
  <c r="I8" i="2"/>
  <c r="F6" i="2"/>
  <c r="K7" i="2"/>
  <c r="D6" i="2"/>
  <c r="H6" i="2"/>
  <c r="B7" i="2"/>
  <c r="I4" i="2"/>
  <c r="I5" i="2"/>
  <c r="K6" i="2"/>
  <c r="C2" i="1"/>
  <c r="E8" i="2"/>
  <c r="G7" i="2"/>
  <c r="E5" i="2"/>
  <c r="C3" i="1"/>
  <c r="C8" i="1"/>
  <c r="B6" i="2"/>
  <c r="C6" i="1"/>
  <c r="E7" i="2"/>
  <c r="I6" i="2"/>
  <c r="H7" i="2"/>
  <c r="K3" i="2"/>
  <c r="C3" i="2"/>
  <c r="C4" i="1"/>
  <c r="H5" i="2"/>
  <c r="G8" i="2"/>
  <c r="C5" i="2"/>
  <c r="B5" i="2"/>
  <c r="G6" i="2"/>
  <c r="K4" i="2"/>
  <c r="B4" i="2"/>
  <c r="I3" i="2"/>
  <c r="G5" i="2"/>
  <c r="F8" i="2"/>
  <c r="C4" i="2"/>
  <c r="B8" i="2"/>
  <c r="H8" i="2"/>
  <c r="D8" i="2"/>
  <c r="F4" i="2"/>
  <c r="D7" i="2"/>
  <c r="K8" i="2"/>
  <c r="C5" i="1"/>
  <c r="F7" i="2"/>
  <c r="D4" i="3" l="1"/>
  <c r="D5" i="1"/>
  <c r="A9" i="1"/>
  <c r="J4" i="2"/>
  <c r="J7" i="2"/>
  <c r="J5" i="2"/>
  <c r="J3" i="2"/>
  <c r="J6" i="2"/>
  <c r="C9" i="1"/>
  <c r="J8" i="2"/>
  <c r="D3" i="1" l="1"/>
  <c r="D4" i="1"/>
  <c r="D8" i="1"/>
  <c r="D2" i="1"/>
  <c r="D6" i="1"/>
  <c r="D7" i="1"/>
  <c r="A10" i="1"/>
  <c r="C10" i="1"/>
  <c r="D9" i="1" l="1"/>
  <c r="D10" i="1"/>
  <c r="A11" i="1"/>
  <c r="C11" i="1"/>
  <c r="D11" i="1" l="1"/>
  <c r="A12" i="1"/>
  <c r="C12" i="1"/>
  <c r="D12" i="1" l="1"/>
  <c r="A13" i="1"/>
  <c r="C13" i="1"/>
  <c r="D13" i="1" l="1"/>
  <c r="A14" i="1"/>
  <c r="C14" i="1"/>
  <c r="D14" i="1" l="1"/>
  <c r="A15" i="1"/>
  <c r="C15" i="1"/>
  <c r="D15" i="1" l="1"/>
  <c r="A16" i="1"/>
  <c r="C16" i="1"/>
  <c r="D16" i="1" l="1"/>
  <c r="A17" i="1"/>
  <c r="C17" i="1"/>
  <c r="D17" i="1" l="1"/>
  <c r="A18" i="1"/>
  <c r="C18" i="1"/>
  <c r="D18" i="1" l="1"/>
  <c r="A19" i="1"/>
  <c r="C19" i="1"/>
  <c r="D19" i="1" l="1"/>
  <c r="A20" i="1"/>
  <c r="C20" i="1"/>
  <c r="D20" i="1" l="1"/>
  <c r="A21" i="1"/>
  <c r="C21" i="1"/>
  <c r="D21" i="1" l="1"/>
  <c r="A22" i="1"/>
  <c r="C22" i="1"/>
  <c r="D22" i="1" l="1"/>
  <c r="A23" i="1"/>
  <c r="C23" i="1"/>
  <c r="D23" i="1" l="1"/>
  <c r="C24" i="1"/>
  <c r="D24" i="1" l="1"/>
  <c r="C25" i="1"/>
  <c r="D25" i="1" l="1"/>
  <c r="A26" i="1"/>
  <c r="B26" i="1"/>
  <c r="C26" i="1"/>
  <c r="D26" i="1" l="1"/>
  <c r="A27" i="1"/>
  <c r="B27" i="1"/>
  <c r="C27" i="1"/>
  <c r="D27" i="1" l="1"/>
  <c r="A28" i="1"/>
  <c r="B28" i="1"/>
  <c r="C28" i="1"/>
  <c r="D28" i="1" l="1"/>
  <c r="A29" i="1"/>
  <c r="B29" i="1"/>
  <c r="C29" i="1"/>
  <c r="D29" i="1" l="1"/>
  <c r="A30" i="1"/>
  <c r="B30" i="1"/>
  <c r="C30" i="1"/>
  <c r="D30" i="1" l="1"/>
  <c r="A31" i="1"/>
  <c r="B31" i="1"/>
  <c r="C31" i="1"/>
  <c r="D31" i="1" l="1"/>
  <c r="A32" i="1"/>
  <c r="B32" i="1"/>
  <c r="C32" i="1"/>
  <c r="D32" i="1" l="1"/>
  <c r="A33" i="1"/>
  <c r="B33" i="1"/>
  <c r="C33" i="1"/>
  <c r="D33" i="1" l="1"/>
  <c r="A34" i="1"/>
  <c r="B34" i="1"/>
  <c r="C34" i="1"/>
  <c r="D34" i="1" l="1"/>
  <c r="A35" i="1"/>
  <c r="B35" i="1"/>
  <c r="C35" i="1"/>
  <c r="D35" i="1" l="1"/>
  <c r="A36" i="1"/>
  <c r="B36" i="1"/>
  <c r="C36" i="1"/>
  <c r="D36" i="1" l="1"/>
  <c r="A37" i="1"/>
  <c r="B37" i="1"/>
  <c r="C37" i="1"/>
  <c r="D37" i="1" l="1"/>
  <c r="A38" i="1"/>
  <c r="B38" i="1"/>
  <c r="C38" i="1"/>
  <c r="D38" i="1" l="1"/>
  <c r="A39" i="1"/>
  <c r="B39" i="1"/>
  <c r="C39" i="1"/>
  <c r="D39" i="1" l="1"/>
  <c r="A40" i="1"/>
  <c r="B40" i="1"/>
  <c r="C40" i="1"/>
  <c r="D40" i="1" l="1"/>
  <c r="A41" i="1"/>
  <c r="B41" i="1"/>
  <c r="C41" i="1"/>
  <c r="D41" i="1" l="1"/>
  <c r="A42" i="1"/>
  <c r="B42" i="1"/>
  <c r="C42" i="1"/>
  <c r="D42" i="1" l="1"/>
  <c r="A43" i="1"/>
  <c r="B43" i="1"/>
  <c r="C43" i="1"/>
  <c r="D43" i="1" l="1"/>
  <c r="A44" i="1"/>
  <c r="B44" i="1"/>
  <c r="C44" i="1"/>
  <c r="D44" i="1" l="1"/>
  <c r="A45" i="1"/>
  <c r="B45" i="1"/>
  <c r="C45" i="1"/>
  <c r="D45" i="1" l="1"/>
  <c r="A46" i="1"/>
  <c r="B46" i="1"/>
  <c r="C46" i="1"/>
  <c r="D46" i="1" l="1"/>
  <c r="A47" i="1"/>
  <c r="B47" i="1"/>
  <c r="C47" i="1"/>
  <c r="D47" i="1" l="1"/>
  <c r="A48" i="1"/>
  <c r="B48" i="1"/>
  <c r="C48" i="1"/>
  <c r="D48" i="1" l="1"/>
  <c r="A49" i="1"/>
  <c r="B49" i="1"/>
  <c r="C49" i="1"/>
  <c r="D49" i="1" l="1"/>
  <c r="A50" i="1"/>
  <c r="B50" i="1"/>
  <c r="C50" i="1"/>
  <c r="D50" i="1" l="1"/>
  <c r="A51" i="1"/>
  <c r="B51" i="1"/>
  <c r="C51" i="1"/>
  <c r="D51" i="1" l="1"/>
  <c r="A52" i="1"/>
  <c r="B52" i="1"/>
  <c r="C52" i="1"/>
  <c r="D52" i="1" l="1"/>
  <c r="A53" i="1"/>
  <c r="B53" i="1"/>
  <c r="C53" i="1"/>
  <c r="D53" i="1" l="1"/>
  <c r="A54" i="1"/>
  <c r="B54" i="1"/>
  <c r="C54" i="1"/>
  <c r="D54" i="1" l="1"/>
  <c r="A55" i="1"/>
  <c r="B55" i="1"/>
  <c r="C55" i="1"/>
  <c r="D55" i="1" l="1"/>
  <c r="A56" i="1"/>
  <c r="B56" i="1"/>
  <c r="C56" i="1"/>
  <c r="D56" i="1" l="1"/>
  <c r="A57" i="1"/>
  <c r="B57" i="1"/>
  <c r="C57" i="1"/>
  <c r="D57" i="1" l="1"/>
  <c r="A58" i="1"/>
  <c r="B58" i="1"/>
  <c r="C58" i="1"/>
  <c r="D58" i="1" l="1"/>
  <c r="A59" i="1"/>
  <c r="B59" i="1"/>
  <c r="C59" i="1"/>
  <c r="D59" i="1" l="1"/>
  <c r="A60" i="1"/>
  <c r="B60" i="1"/>
  <c r="C60" i="1"/>
  <c r="D60" i="1" l="1"/>
  <c r="A61" i="1"/>
  <c r="B61" i="1"/>
  <c r="C61" i="1"/>
  <c r="A62" i="1" l="1"/>
  <c r="B62" i="1"/>
  <c r="C62" i="1"/>
  <c r="D61" i="1" l="1"/>
  <c r="D62" i="1"/>
  <c r="A63" i="1"/>
  <c r="B63" i="1"/>
  <c r="C63" i="1"/>
  <c r="D63" i="1" l="1"/>
  <c r="A64" i="1"/>
  <c r="B64" i="1"/>
  <c r="C64" i="1"/>
  <c r="D64" i="1" l="1"/>
  <c r="A65" i="1"/>
  <c r="B65" i="1"/>
  <c r="C65" i="1"/>
  <c r="D65" i="1" l="1"/>
  <c r="A66" i="1"/>
  <c r="B66" i="1"/>
  <c r="C66" i="1"/>
  <c r="D66" i="1" l="1"/>
  <c r="A67" i="1"/>
  <c r="B67" i="1"/>
  <c r="C67" i="1"/>
  <c r="D67" i="1" l="1"/>
  <c r="A68" i="1"/>
  <c r="B68" i="1"/>
  <c r="C68" i="1"/>
  <c r="D68" i="1" l="1"/>
  <c r="A69" i="1"/>
  <c r="B69" i="1"/>
  <c r="C69" i="1"/>
  <c r="D69" i="1" l="1"/>
  <c r="A70" i="1"/>
  <c r="B70" i="1"/>
  <c r="C70" i="1"/>
  <c r="D70" i="1" l="1"/>
  <c r="A71" i="1"/>
  <c r="B71" i="1"/>
  <c r="C71" i="1"/>
  <c r="D71" i="1" l="1"/>
  <c r="A72" i="1"/>
  <c r="B72" i="1"/>
  <c r="C72" i="1"/>
  <c r="D72" i="1" l="1"/>
  <c r="A73" i="1"/>
  <c r="B73" i="1"/>
  <c r="C73" i="1"/>
  <c r="D73" i="1" l="1"/>
  <c r="A74" i="1"/>
  <c r="B74" i="1"/>
  <c r="C74" i="1"/>
  <c r="D74" i="1" l="1"/>
  <c r="A75" i="1"/>
  <c r="B75" i="1"/>
  <c r="C75" i="1"/>
  <c r="D75" i="1" l="1"/>
  <c r="A76" i="1"/>
  <c r="B76" i="1"/>
  <c r="C76" i="1"/>
  <c r="D76" i="1" l="1"/>
  <c r="A77" i="1"/>
  <c r="B77" i="1"/>
  <c r="C77" i="1"/>
  <c r="D77" i="1" l="1"/>
  <c r="A78" i="1"/>
  <c r="B78" i="1"/>
  <c r="C78" i="1"/>
  <c r="D78" i="1" l="1"/>
  <c r="A79" i="1"/>
  <c r="B79" i="1"/>
  <c r="C79" i="1"/>
  <c r="D79" i="1" l="1"/>
  <c r="A80" i="1"/>
  <c r="B80" i="1"/>
  <c r="C80" i="1"/>
  <c r="D80" i="1" l="1"/>
  <c r="A81" i="1"/>
  <c r="B81" i="1"/>
  <c r="C81" i="1"/>
  <c r="D81" i="1" l="1"/>
  <c r="A82" i="1"/>
  <c r="B82" i="1"/>
  <c r="C82" i="1"/>
  <c r="D82" i="1" l="1"/>
  <c r="A83" i="1"/>
  <c r="B83" i="1"/>
  <c r="C83" i="1"/>
  <c r="D83" i="1" l="1"/>
  <c r="A84" i="1"/>
  <c r="B84" i="1"/>
  <c r="C84" i="1"/>
  <c r="D84" i="1" l="1"/>
  <c r="A85" i="1"/>
  <c r="B85" i="1"/>
  <c r="C85" i="1"/>
  <c r="D85" i="1" l="1"/>
  <c r="A86" i="1"/>
  <c r="B86" i="1"/>
  <c r="C86" i="1"/>
  <c r="D86" i="1" l="1"/>
  <c r="A87" i="1"/>
  <c r="B87" i="1"/>
  <c r="C87" i="1"/>
  <c r="D87" i="1" l="1"/>
  <c r="A88" i="1"/>
  <c r="B88" i="1"/>
  <c r="C88" i="1"/>
  <c r="D88" i="1" l="1"/>
  <c r="A89" i="1"/>
  <c r="B89" i="1"/>
  <c r="C89" i="1"/>
  <c r="D89" i="1" l="1"/>
  <c r="A90" i="1"/>
  <c r="B90" i="1"/>
  <c r="C90" i="1"/>
  <c r="D90" i="1" l="1"/>
  <c r="A91" i="1"/>
  <c r="B91" i="1"/>
  <c r="C91" i="1"/>
  <c r="D91" i="1" l="1"/>
  <c r="A92" i="1"/>
  <c r="B92" i="1"/>
  <c r="C92" i="1"/>
  <c r="D92" i="1" l="1"/>
  <c r="A93" i="1"/>
  <c r="B93" i="1"/>
  <c r="C93" i="1"/>
  <c r="D93" i="1" l="1"/>
  <c r="A94" i="1"/>
  <c r="B94" i="1"/>
  <c r="C94" i="1"/>
  <c r="D94" i="1" l="1"/>
  <c r="A95" i="1"/>
  <c r="B95" i="1"/>
  <c r="C95" i="1"/>
  <c r="D95" i="1" l="1"/>
  <c r="A96" i="1"/>
  <c r="B96" i="1"/>
  <c r="C96" i="1"/>
  <c r="D96" i="1" l="1"/>
  <c r="A97" i="1"/>
  <c r="B97" i="1"/>
  <c r="C97" i="1"/>
  <c r="A98" i="1" l="1"/>
  <c r="A99" i="1" s="1"/>
  <c r="D97" i="1"/>
  <c r="B98" i="1"/>
  <c r="B99" i="1"/>
  <c r="A100" i="1" l="1"/>
  <c r="B100" i="1"/>
  <c r="C99" i="1"/>
  <c r="C98" i="1"/>
  <c r="D98" i="1" l="1"/>
  <c r="A101" i="1"/>
  <c r="D99" i="1"/>
  <c r="B101" i="1"/>
  <c r="C100" i="1"/>
  <c r="A102" i="1" l="1"/>
  <c r="D100" i="1"/>
  <c r="B102" i="1"/>
  <c r="C102" i="1"/>
  <c r="C101" i="1"/>
  <c r="D102" i="1" l="1"/>
  <c r="A103" i="1"/>
  <c r="D101" i="1"/>
  <c r="B103" i="1"/>
  <c r="C103" i="1" s="1"/>
  <c r="D103" i="1" l="1"/>
  <c r="A104" i="1"/>
  <c r="B104" i="1"/>
  <c r="C104" i="1" s="1"/>
  <c r="D104" i="1" l="1"/>
  <c r="A105" i="1"/>
  <c r="B105" i="1"/>
  <c r="C105" i="1" s="1"/>
  <c r="D10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<sst xmlns="http://schemas.openxmlformats.org/spreadsheetml/2006/main" count="47" uniqueCount="34">
  <si>
    <t>Symbol</t>
  </si>
  <si>
    <t>XIU.TO</t>
  </si>
  <si>
    <t>Exchange</t>
  </si>
  <si>
    <t>Currency</t>
  </si>
  <si>
    <t>MarketCap</t>
  </si>
  <si>
    <t>QuoteType</t>
  </si>
  <si>
    <t>RegularMarketPrice</t>
  </si>
  <si>
    <t>RegularMarketVolume</t>
  </si>
  <si>
    <t>Bid</t>
  </si>
  <si>
    <t>Ask</t>
  </si>
  <si>
    <t>TrailingAnnualDividendYield</t>
  </si>
  <si>
    <t>LongName</t>
  </si>
  <si>
    <t>SPY</t>
  </si>
  <si>
    <t>TSLA</t>
  </si>
  <si>
    <t>EURUSD=X</t>
  </si>
  <si>
    <t>DataType</t>
  </si>
  <si>
    <t>Property</t>
  </si>
  <si>
    <t>symbol</t>
  </si>
  <si>
    <t>IBM</t>
  </si>
  <si>
    <t>1306.T</t>
  </si>
  <si>
    <t>CL=F</t>
  </si>
  <si>
    <t>#PathInfo</t>
  </si>
  <si>
    <t>invalid prop</t>
  </si>
  <si>
    <t>invalid sym</t>
  </si>
  <si>
    <t>unknown</t>
  </si>
  <si>
    <t>longname</t>
  </si>
  <si>
    <t>currency</t>
  </si>
  <si>
    <t>JPY=X</t>
  </si>
  <si>
    <t>USDJPY=X</t>
  </si>
  <si>
    <t>ibm</t>
  </si>
  <si>
    <t>18:51:04</t>
  </si>
  <si>
    <t>18:51:10</t>
  </si>
  <si>
    <t>18:51:17</t>
  </si>
  <si>
    <t>18:51:46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</si>
</sst>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dd\,\ mmmm\ d\,\ yyyy;@" x16r2:formatCode16="[$-en-001,1]dddd\,\ mmmm\ d\,\ yyyy;@"/>
    <numFmt numFmtId="165" formatCode="[$]hh:mm:ss;@" x16r2:formatCode16="[$-en-001,1]hh:mm:ss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4" fontId="1" fillId="0" borderId="0" xfId="0" applyNumberFormat="1" applyFont="1" applyAlignment="1">
      <alignment horizontal="right"/>
    </xf>
    <xf numFmtId="4" fontId="0" fillId="0" borderId="0" xfId="0" applyNumberForma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14a128f30c344e0aa834261d5904b48b">
      <tp>
        <v>9</v>
        <stp/>
        <stp>d0df84f7-ea54-460a-b8f1-314a8409649a</stp>
        <tr r="D18" s="3"/>
      </tp>
      <tp>
        <v>9</v>
        <stp/>
        <stp>e0f905e9-a8a4-486d-ac0c-0cee443860c6</stp>
        <tr r="F8" s="2"/>
      </tp>
      <tp>
        <v>9</v>
        <stp/>
        <stp>ad49d46c-5e47-4fb6-bbda-309d4f6cd6bf</stp>
        <tr r="C85" s="1"/>
      </tp>
      <tp>
        <v>9</v>
        <stp/>
        <stp>b68e2733-f336-4ea0-9ecc-49e0cc7029be</stp>
        <tr r="C72" s="1"/>
      </tp>
    </main>
    <main first="rtdsrv_14a128f30c344e0aa834261d5904b48b">
      <tp>
        <v>9</v>
        <stp/>
        <stp>5e36aa47-3801-44bd-9875-7ca5f6961f65</stp>
        <tr r="C45" s="1"/>
      </tp>
      <tp>
        <v>9</v>
        <stp/>
        <stp>8fc0e7e1-4db4-4533-8828-93f68b34fb57</stp>
        <tr r="C93" s="1"/>
      </tp>
    </main>
    <main first="rtdsrv_14a128f30c344e0aa834261d5904b48b">
      <tp>
        <v>9</v>
        <stp/>
        <stp>64a1efdb-0003-4120-b967-6d1a10ccef88</stp>
        <tr r="C61" s="1"/>
      </tp>
      <tp>
        <v>9</v>
        <stp/>
        <stp>c789d427-d6ad-4c54-862b-883c38c887f7</stp>
        <tr r="C100" s="1"/>
      </tp>
    </main>
    <main first="rtdsrv_14a128f30c344e0aa834261d5904b48b">
      <tp>
        <v>9</v>
        <stp/>
        <stp>d2ff9022-cddc-405c-8e0b-1b48209496b5</stp>
        <tr r="J8" s="2"/>
      </tp>
    </main>
    <main first="rtdsrv_14a128f30c344e0aa834261d5904b48b">
      <tp>
        <v>1</v>
        <stp/>
        <stp>f7da8aaf-45a5-429f-9d2c-b81bea63e9ae</stp>
        <tr r="D5" s="3"/>
      </tp>
      <tp>
        <v>9</v>
        <stp/>
        <stp>45bd6f09-6085-4521-b551-63b0c510c107</stp>
        <tr r="B3" s="2"/>
      </tp>
    </main>
    <main first="rtdsrv_14a128f30c344e0aa834261d5904b48b">
      <tp>
        <v>9</v>
        <stp/>
        <stp>62ebdb4f-af70-45b3-b1cc-adc0367d6e19</stp>
        <tr r="G4" s="2"/>
      </tp>
    </main>
    <main first="rtdsrv_14a128f30c344e0aa834261d5904b48b">
      <tp>
        <v>9</v>
        <stp/>
        <stp>064eb10f-a088-4442-afc9-430a00503a60</stp>
        <tr r="C27" s="1"/>
      </tp>
    </main>
    <main first="rtdsrv_14a128f30c344e0aa834261d5904b48b">
      <tp>
        <v>9</v>
        <stp/>
        <stp>e78a12ef-cf30-4eaf-ab6f-d55afea9d38d</stp>
        <tr r="C52" s="1"/>
      </tp>
    </main>
    <main first="rtdsrv_14a128f30c344e0aa834261d5904b48b">
      <tp>
        <v>9</v>
        <stp/>
        <stp>dc640f31-8ee0-4ef9-b78a-8fc0a64dc817</stp>
        <tr r="C15" s="1"/>
      </tp>
    </main>
    <main first="rtdsrv_14a128f30c344e0aa834261d5904b48b">
      <tp>
        <v>9</v>
        <stp/>
        <stp>977b3306-28f0-4ca1-b840-363c97190f44</stp>
        <tr r="D14" s="3"/>
      </tp>
      <tp>
        <v>9</v>
        <stp/>
        <stp>bc397e5e-bc71-45b7-9f64-5b23ccf3803f</stp>
        <tr r="C68" s="1"/>
      </tp>
    </main>
    <main first="rtdsrv_14a128f30c344e0aa834261d5904b48b">
      <tp>
        <v>9</v>
        <stp/>
        <stp>563c8cad-dba0-413a-8e06-bf3c63cd6ac5</stp>
        <tr r="C86" s="1"/>
      </tp>
    </main>
    <main first="rtdsrv_14a128f30c344e0aa834261d5904b48b">
      <tp>
        <v>9</v>
        <stp/>
        <stp>1f50e339-4d0c-44cd-9443-8b889804286f</stp>
        <tr r="J6" s="2"/>
      </tp>
      <tp>
        <v>9</v>
        <stp/>
        <stp>2940329d-0a7a-4a49-a338-958103f09dfa</stp>
        <tr r="K8" s="2"/>
      </tp>
    </main>
    <main first="rtdsrv_14a128f30c344e0aa834261d5904b48b">
      <tp>
        <v>9</v>
        <stp/>
        <stp>5352f7dc-3338-4d87-9bc0-a74970f9b7bb</stp>
        <tr r="E8" s="2"/>
      </tp>
    </main>
    <main first="rtdsrv_14a128f30c344e0aa834261d5904b48b">
      <tp>
        <v>9</v>
        <stp/>
        <stp>a27d3510-43c8-4089-98ec-a27ea99fa7e1</stp>
        <tr r="I5" s="2"/>
      </tp>
      <tp>
        <v>9</v>
        <stp/>
        <stp>049d9c48-4b74-4491-8914-e00b8255d2cb</stp>
        <tr r="C6" s="1"/>
      </tp>
    </main>
    <main first="rtdsrv_14a128f30c344e0aa834261d5904b48b">
      <tp>
        <v>9</v>
        <stp/>
        <stp>1c4e278c-7a6f-4e44-aee1-14699a8864ec</stp>
        <tr r="J4" s="2"/>
      </tp>
      <tp>
        <v>9</v>
        <stp/>
        <stp>6d35772e-61b6-4a8f-bec4-51aa01a1730f</stp>
        <tr r="C92" s="1"/>
      </tp>
      <tp>
        <v>9</v>
        <stp/>
        <stp>fb6f8291-ecf1-4d32-8ee9-84cbf0422574</stp>
        <tr r="F3" s="2"/>
      </tp>
      <tp>
        <v>1</v>
        <stp/>
        <stp>ee8ead2e-3acf-45ad-8ce4-509dcd0c24c3</stp>
        <tr r="D8" s="3"/>
      </tp>
      <tp>
        <v>9</v>
        <stp/>
        <stp>80fff4d0-70bc-49fa-8d80-3846d6b507f8</stp>
        <tr r="C37" s="1"/>
      </tp>
      <tp>
        <v>9</v>
        <stp/>
        <stp>4b20bbf8-7465-4c9f-9356-e453c7bb743b</stp>
        <tr r="H8" s="2"/>
      </tp>
    </main>
    <main first="rtdsrv_14a128f30c344e0aa834261d5904b48b">
      <tp>
        <v>9</v>
        <stp/>
        <stp>4f74ad1f-291c-4a89-aff9-88b1e02c658a</stp>
        <tr r="C3" s="2"/>
      </tp>
      <tp>
        <v>9</v>
        <stp/>
        <stp>478505c3-644b-42dc-af70-83a7fd176ed4</stp>
        <tr r="C4" s="2"/>
      </tp>
      <tp>
        <v>9</v>
        <stp/>
        <stp>1e89e4fb-df03-4c15-a5bd-56419dcdebcb</stp>
        <tr r="D3" s="2"/>
      </tp>
    </main>
    <main first="rtdsrv_14a128f30c344e0aa834261d5904b48b">
      <tp>
        <v>9</v>
        <stp/>
        <stp>de9091a0-468f-47ac-bdca-4c385ea914c7</stp>
        <tr r="C81" s="1"/>
      </tp>
      <tp>
        <v>9</v>
        <stp/>
        <stp>6d6e655f-3d6c-45e3-a1c9-d2656ed2d73d</stp>
        <tr r="C51" s="1"/>
      </tp>
    </main>
    <main first="rtdsrv_14a128f30c344e0aa834261d5904b48b">
      <tp>
        <v>9</v>
        <stp/>
        <stp>1e4568c3-f7eb-43e6-9ec0-6114749c69ab</stp>
        <tr r="C38" s="1"/>
      </tp>
      <tp>
        <v>9</v>
        <stp/>
        <stp>dc94800b-e2ed-40b1-8008-ed0b480b8955</stp>
        <tr r="I3" s="2"/>
      </tp>
    </main>
    <main first="rtdsrv_14a128f30c344e0aa834261d5904b48b">
      <tp>
        <v>9</v>
        <stp/>
        <stp>4ca1739c-445e-4721-a66a-7f0d413f9ec3</stp>
        <tr r="C101" s="1"/>
      </tp>
      <tp>
        <v>9</v>
        <stp/>
        <stp>b2f6c779-9858-417d-8284-dfdf832a9db2</stp>
        <tr r="F6" s="2"/>
      </tp>
    </main>
    <main first="rtdsrv_14a128f30c344e0aa834261d5904b48b">
      <tp>
        <v>9</v>
        <stp/>
        <stp>74e5259a-0f91-4b06-b609-fc00b266f7bf</stp>
        <tr r="C89" s="1"/>
      </tp>
    </main>
    <main first="rtdsrv_14a128f30c344e0aa834261d5904b48b">
      <tp>
        <v>9</v>
        <stp/>
        <stp>e4cbff21-d139-4a51-8ece-3cdebb6f0455</stp>
        <tr r="I7" s="2"/>
      </tp>
      <tp>
        <v>9</v>
        <stp/>
        <stp>11db9d3f-751c-4d79-8abe-e8faf4774d4e</stp>
        <tr r="H3" s="2"/>
      </tp>
      <tp>
        <v>9</v>
        <stp/>
        <stp>2727c1b4-e7bf-4583-92b5-3566bcdb15cb</stp>
        <tr r="J7" s="2"/>
      </tp>
    </main>
    <main first="rtdsrv_14a128f30c344e0aa834261d5904b48b">
      <tp>
        <v>9</v>
        <stp/>
        <stp>4bafcfbf-84ba-473d-988a-ab42da9ea2d9</stp>
        <tr r="C43" s="1"/>
      </tp>
    </main>
    <main first="rtdsrv_14a128f30c344e0aa834261d5904b48b">
      <tp>
        <v>9</v>
        <stp/>
        <stp>91cea746-7f4e-4737-94c6-89f3a9f9a417</stp>
        <tr r="I6" s="2"/>
      </tp>
    </main>
    <main first="rtdsrv_14a128f30c344e0aa834261d5904b48b">
      <tp>
        <v>9</v>
        <stp/>
        <stp>9642b21d-e2e6-48ce-a4da-de684d53b0e2</stp>
        <tr r="C58" s="1"/>
      </tp>
      <tp>
        <v>9</v>
        <stp/>
        <stp>c3a62a0b-a145-4a44-a44f-d9905b8f9967</stp>
        <tr r="C21" s="1"/>
      </tp>
      <tp>
        <v>9</v>
        <stp/>
        <stp>bee39ed9-b42d-49fc-b613-cc54aed53f87</stp>
        <tr r="F7" s="2"/>
      </tp>
      <tp>
        <v>9</v>
        <stp/>
        <stp>27f78f0b-914c-4e99-9ed1-0a85c5c0c1be</stp>
        <tr r="C10" s="1"/>
      </tp>
    </main>
    <main first="rtdsrv_14a128f30c344e0aa834261d5904b48b">
      <tp>
        <v>9</v>
        <stp/>
        <stp>bd2d7f4e-dad0-47bc-ae15-3166239e8fbb</stp>
        <tr r="C91" s="1"/>
      </tp>
    </main>
    <main first="rtdsrv_14a128f30c344e0aa834261d5904b48b">
      <tp>
        <v>9</v>
        <stp/>
        <stp>27c68767-e8d5-492a-a738-24644a5c52d4</stp>
        <tr r="C74" s="1"/>
      </tp>
    </main>
    <main first="rtdsrv_14a128f30c344e0aa834261d5904b48b">
      <tp>
        <v>9</v>
        <stp/>
        <stp>9ad90596-0ec7-4d4e-b7e4-bc37bacfb987</stp>
        <tr r="E7" s="2"/>
      </tp>
      <tp>
        <v>9</v>
        <stp/>
        <stp>1714c32b-648e-4739-9a97-1757584e0bd7</stp>
        <tr r="B8" s="2"/>
      </tp>
    </main>
    <main first="rtdsrv_14a128f30c344e0aa834261d5904b48b">
      <tp>
        <v>9</v>
        <stp/>
        <stp>41d32085-c2e8-45ba-bc0d-d0ebaeafb913</stp>
        <tr r="C44" s="1"/>
      </tp>
      <tp>
        <v>9</v>
        <stp/>
        <stp>4b83464f-b984-4077-ba52-30d75c85d978</stp>
        <tr r="K3" s="2"/>
      </tp>
    </main>
    <main first="rtdsrv_14a128f30c344e0aa834261d5904b48b">
      <tp>
        <v>9</v>
        <stp/>
        <stp>cf945c70-ff36-45a7-a8d5-ee0f529fd92a</stp>
        <tr r="C83" s="1"/>
      </tp>
    </main>
    <main first="rtdsrv_14a128f30c344e0aa834261d5904b48b">
      <tp>
        <v>9</v>
        <stp/>
        <stp>34355d4b-3122-480c-9c10-5867d336ddb3</stp>
        <tr r="C39" s="1"/>
      </tp>
    </main>
    <main first="rtdsrv_14a128f30c344e0aa834261d5904b48b">
      <tp>
        <v>9</v>
        <stp/>
        <stp>3aecf467-fad5-4029-b34b-6ce96b63aa62</stp>
        <tr r="C49" s="1"/>
      </tp>
      <tp>
        <v>9</v>
        <stp/>
        <stp>cab778b7-6634-4fdd-8c3f-afa1b2e7f2ff</stp>
        <tr r="C59" s="1"/>
      </tp>
    </main>
    <main first="rtdsrv_14a128f30c344e0aa834261d5904b48b">
      <tp>
        <v>9</v>
        <stp/>
        <stp>bc841ac7-8adb-43c2-b9a8-641ad811c8d5</stp>
        <tr r="C96" s="1"/>
      </tp>
    </main>
    <main first="rtdsrv_14a128f30c344e0aa834261d5904b48b">
      <tp>
        <v>9</v>
        <stp/>
        <stp>579930cd-1596-4b94-8676-a261bc6fe847</stp>
        <tr r="C3" s="1"/>
      </tp>
      <tp>
        <v>9</v>
        <stp/>
        <stp>f36d4b5c-5c82-4900-8770-a786a988313e</stp>
        <tr r="B5" s="2"/>
      </tp>
    </main>
    <main first="rtdsrv_14a128f30c344e0aa834261d5904b48b">
      <tp>
        <v>9</v>
        <stp/>
        <stp>5039f985-4ca6-4253-8d7c-4bf4609da00b</stp>
        <tr r="D5" s="2"/>
      </tp>
      <tp>
        <v>9</v>
        <stp/>
        <stp>cf7bf61c-3244-42d6-a7f3-e8ed526f2b4a</stp>
        <tr r="C4" s="1"/>
      </tp>
    </main>
    <main first="rtdsrv_14a128f30c344e0aa834261d5904b48b">
      <tp>
        <v>9</v>
        <stp/>
        <stp>8d311888-10dd-441c-9821-624e74765a3d</stp>
        <tr r="C41" s="1"/>
      </tp>
      <tp>
        <v>9</v>
        <stp/>
        <stp>61bd9952-1a82-4394-83af-4ca3471f0c21</stp>
        <tr r="H6" s="2"/>
      </tp>
      <tp>
        <v>9</v>
        <stp/>
        <stp>9fbfb624-e974-4546-bc67-f9436b21e41c</stp>
        <tr r="J3" s="2"/>
      </tp>
    </main>
    <main first="rtdsrv_14a128f30c344e0aa834261d5904b48b">
      <tp>
        <v>9</v>
        <stp/>
        <stp>7c34c5dc-18f9-47b8-84a0-f03ede96a128</stp>
        <tr r="G8" s="2"/>
      </tp>
    </main>
    <main first="rtdsrv_14a128f30c344e0aa834261d5904b48b">
      <tp>
        <v>9</v>
        <stp/>
        <stp>2ba03102-8884-44d2-a87d-374cf545868c</stp>
        <tr r="C62" s="1"/>
      </tp>
      <tp>
        <v>9</v>
        <stp/>
        <stp>ab86d57c-c9e9-4d23-93a8-0659a9bd005d</stp>
        <tr r="C14" s="1"/>
      </tp>
    </main>
    <main first="rtdsrv_14a128f30c344e0aa834261d5904b48b">
      <tp>
        <v>9</v>
        <stp/>
        <stp>fd450ed1-3720-47a8-93da-dda2bd95075f</stp>
        <tr r="C78" s="1"/>
      </tp>
      <tp>
        <v>9</v>
        <stp/>
        <stp>81b9c8a3-34b4-4d96-8cfa-cb8e5b63431f</stp>
        <tr r="C73" s="1"/>
      </tp>
      <tp>
        <v>9</v>
        <stp/>
        <stp>e0c7e93a-416c-4a27-9473-214c9c62a663</stp>
        <tr r="D4" s="2"/>
      </tp>
    </main>
    <main first="rtdsrv_14a128f30c344e0aa834261d5904b48b">
      <tp>
        <v>9</v>
        <stp/>
        <stp>a2b6e836-2f3d-430a-9bde-fa0d87b342ef</stp>
        <tr r="K4" s="2"/>
      </tp>
      <tp>
        <v>9</v>
        <stp/>
        <stp>c8e973a6-0263-4c73-820c-2f97a066c78e</stp>
        <tr r="C88" s="1"/>
      </tp>
      <tp>
        <v>9</v>
        <stp/>
        <stp>d2a1dd0c-2f13-4fc8-af37-d9fb49da4686</stp>
        <tr r="F4" s="2"/>
      </tp>
      <tp>
        <v>9</v>
        <stp/>
        <stp>c52c262a-b091-48a6-9930-886ff124742d</stp>
        <tr r="C42" s="1"/>
      </tp>
    </main>
    <main first="rtdsrv_14a128f30c344e0aa834261d5904b48b">
      <tp>
        <v>9</v>
        <stp/>
        <stp>82d0a6d9-29e7-4e79-8289-f9fd25f15b24</stp>
        <tr r="I8" s="2"/>
      </tp>
    </main>
    <main first="rtdsrv_14a128f30c344e0aa834261d5904b48b">
      <tp>
        <v>9</v>
        <stp/>
        <stp>cb775c68-e076-4d9a-bb01-a95846ad8ce3</stp>
        <tr r="C46" s="1"/>
      </tp>
    </main>
    <main first="rtdsrv_14a128f30c344e0aa834261d5904b48b">
      <tp>
        <v>9</v>
        <stp/>
        <stp>38887a69-e1fe-44a3-a4a8-161733f20377</stp>
        <tr r="C17" s="1"/>
      </tp>
      <tp>
        <v>9</v>
        <stp/>
        <stp>5fb14e8a-5371-47f4-836a-3f6fd3bda985</stp>
        <tr r="C70" s="1"/>
      </tp>
    </main>
    <main first="rtdsrv_14a128f30c344e0aa834261d5904b48b">
      <tp>
        <v>9</v>
        <stp/>
        <stp>35ee9964-9dfb-4e99-9ce8-d662ceefcbb6</stp>
        <tr r="C12" s="1"/>
      </tp>
    </main>
    <main first="rtdsrv_14a128f30c344e0aa834261d5904b48b">
      <tp>
        <v>9</v>
        <stp/>
        <stp>36325332-b6ea-4aff-b5bc-08c800ca83dc</stp>
        <tr r="J5" s="2"/>
      </tp>
    </main>
    <main first="rtdsrv_14a128f30c344e0aa834261d5904b48b">
      <tp>
        <v>9</v>
        <stp/>
        <stp>77535c83-fa86-47d4-8f3b-4cc6bcee82b7</stp>
        <tr r="C95" s="1"/>
      </tp>
      <tp>
        <v>9</v>
        <stp/>
        <stp>e0b308a0-8dc5-4a90-be25-be817bf842df</stp>
        <tr r="E6" s="2"/>
      </tp>
      <tp>
        <v>9</v>
        <stp/>
        <stp>8fc653e6-0bb1-45c2-87fc-7ced21341d7f</stp>
        <tr r="B7" s="2"/>
      </tp>
      <tp>
        <v>9</v>
        <stp/>
        <stp>da3bac73-d5ad-4e5a-b5ba-b4e23aa99739</stp>
        <tr r="C8" s="2"/>
      </tp>
    </main>
    <main first="rtdsrv_14a128f30c344e0aa834261d5904b48b">
      <tp>
        <v>9</v>
        <stp/>
        <stp>083a028e-e531-463d-92ed-295b91302ad6</stp>
        <tr r="B4" s="2"/>
      </tp>
    </main>
    <main first="rtdsrv_14a128f30c344e0aa834261d5904b48b">
      <tp>
        <v>9</v>
        <stp/>
        <stp>3f87e276-a2d2-48d7-b653-8d51fa6014c1</stp>
        <tr r="D7" s="2"/>
      </tp>
      <tp>
        <v>9</v>
        <stp/>
        <stp>bfc55766-713a-4f01-a7fe-ee79c741ded0</stp>
        <tr r="F5" s="2"/>
      </tp>
    </main>
    <main first="rtdsrv_14a128f30c344e0aa834261d5904b48b">
      <tp>
        <v>9</v>
        <stp/>
        <stp>5dadac34-185f-4731-99a4-ad70ba4f2e85</stp>
        <tr r="C71" s="1"/>
      </tp>
      <tp>
        <v>9</v>
        <stp/>
        <stp>36f9ed5b-0642-4deb-95de-ee60cff40a04</stp>
        <tr r="C8" s="1"/>
      </tp>
    </main>
    <main first="rtdsrv_14a128f30c344e0aa834261d5904b48b">
      <tp>
        <v>9</v>
        <stp/>
        <stp>7efcbf7f-a898-4e9e-8876-526b9f339bf0</stp>
        <tr r="C69" s="1"/>
      </tp>
      <tp>
        <v>9</v>
        <stp/>
        <stp>10fe0c58-842f-49bd-8640-a636939968ac</stp>
        <tr r="C80" s="1"/>
      </tp>
    </main>
    <main first="rtdsrv_14a128f30c344e0aa834261d5904b48b">
      <tp>
        <v>9</v>
        <stp/>
        <stp>192a5bcb-0f7e-40c1-8dff-ff56deeb6973</stp>
        <tr r="C22" s="1"/>
      </tp>
      <tp>
        <v>9</v>
        <stp/>
        <stp>fb4fc709-fb1f-4fcb-ae93-a8644b6ae4f0</stp>
        <tr r="C2" s="1"/>
      </tp>
      <tp>
        <v>9</v>
        <stp/>
        <stp>abebd12a-e3d2-4c13-b5e2-15d6512c2b02</stp>
        <tr r="C7" s="2"/>
      </tp>
      <tp>
        <v>9</v>
        <stp/>
        <stp>c0e7d9c4-6abb-407b-a17e-4558a9c6bc8c</stp>
        <tr r="E3" s="2"/>
      </tp>
    </main>
    <main first="rtdsrv_14a128f30c344e0aa834261d5904b48b">
      <tp>
        <v>9</v>
        <stp/>
        <stp>618f1c97-554b-46b1-93b6-f672a0dd474c</stp>
        <tr r="B6" s="2"/>
      </tp>
    </main>
    <main first="rtdsrv_14a128f30c344e0aa834261d5904b48b">
      <tp>
        <v>9</v>
        <stp/>
        <stp>8157d596-0eec-414b-a4d6-1764ffaf5f5e</stp>
        <tr r="C11" s="1"/>
      </tp>
      <tp>
        <v>9</v>
        <stp/>
        <stp>4d43f481-8152-4eb4-addb-68c4c565f037</stp>
        <tr r="C54" s="1"/>
      </tp>
      <tp>
        <v>9</v>
        <stp/>
        <stp>bcb11340-2739-435f-bded-67bf554cdfe4</stp>
        <tr r="C97" s="1"/>
      </tp>
      <tp>
        <v>9</v>
        <stp/>
        <stp>8d6823b1-2a31-4fbf-9f6b-c60f2e421cc5</stp>
        <tr r="D6" s="2"/>
      </tp>
    </main>
    <main first="rtdsrv_14a128f30c344e0aa834261d5904b48b">
      <tp>
        <v>9</v>
        <stp/>
        <stp>fa5e61ad-4a34-41a3-a1c7-c6af7dd08bc4</stp>
        <tr r="E5" s="2"/>
      </tp>
      <tp>
        <v>9</v>
        <stp/>
        <stp>058f09ee-420f-4c6c-9238-c0dffdb5a830</stp>
        <tr r="C24" s="1"/>
      </tp>
      <tp>
        <v>9</v>
        <stp/>
        <stp>9f350535-5974-4eb1-a20b-37670d99c076</stp>
        <tr r="C36" s="1"/>
      </tp>
      <tp>
        <v>1</v>
        <stp/>
        <stp>4a056b97-a738-4b3f-aed6-8fe28dd6af60</stp>
        <tr r="D9" s="3"/>
      </tp>
    </main>
    <main first="rtdsrv_14a128f30c344e0aa834261d5904b48b">
      <tp>
        <v>9</v>
        <stp/>
        <stp>6d014f97-a631-4b4f-b15f-8b66c5fa5c49</stp>
        <tr r="C5" s="1"/>
      </tp>
      <tp>
        <v>9</v>
        <stp/>
        <stp>ca743325-8698-4fa9-82a9-fcfb4cf0f617</stp>
        <tr r="C55" s="1"/>
      </tp>
      <tp>
        <v>9</v>
        <stp/>
        <stp>01cd8dfd-31d5-4cc8-86ec-291ac67070fc</stp>
        <tr r="D8" s="2"/>
      </tp>
    </main>
    <main first="rtdsrv_14a128f30c344e0aa834261d5904b48b">
      <tp>
        <v>9</v>
        <stp/>
        <stp>2b12a608-ccb2-48c3-8ac0-5c5a94af8459</stp>
        <tr r="C47" s="1"/>
      </tp>
    </main>
    <main first="rtdsrv_14a128f30c344e0aa834261d5904b48b">
      <tp>
        <v>9</v>
        <stp/>
        <stp>0371e5d4-b80e-47ec-8b6d-f7f38d700a8b</stp>
        <tr r="C77" s="1"/>
      </tp>
    </main>
    <main first="rtdsrv_14a128f30c344e0aa834261d5904b48b">
      <tp>
        <v>9</v>
        <stp/>
        <stp>4c491512-09cb-43d2-9124-5ed7382e98d7</stp>
        <tr r="H7" s="2"/>
      </tp>
    </main>
    <main first="rtdsrv_14a128f30c344e0aa834261d5904b48b">
      <tp>
        <v>9</v>
        <stp/>
        <stp>fcda0404-a772-45ff-a229-ab3771ea2256</stp>
        <tr r="E4" s="2"/>
      </tp>
      <tp>
        <v>9</v>
        <stp/>
        <stp>3b45be64-b6a0-4306-b9ee-a202f344a4c9</stp>
        <tr r="C34" s="1"/>
      </tp>
    </main>
    <main first="rtdsrv_14a128f30c344e0aa834261d5904b48b">
      <tp>
        <v>9</v>
        <stp/>
        <stp>5e432b9d-c7ab-4bee-a70a-f8ef78dd2319</stp>
        <tr r="H5" s="2"/>
      </tp>
    </main>
    <main first="rtdsrv_14a128f30c344e0aa834261d5904b48b">
      <tp>
        <v>9</v>
        <stp/>
        <stp>e920ce96-2088-424f-bbb3-88f8423dbbc9</stp>
        <tr r="D15" s="3"/>
      </tp>
      <tp>
        <v>9</v>
        <stp/>
        <stp>bd9ff7c2-21a3-4605-bc1d-d3501bdd26a2</stp>
        <tr r="C19" s="1"/>
      </tp>
    </main>
    <main first="rtdsrv_14a128f30c344e0aa834261d5904b48b">
      <tp>
        <v>9</v>
        <stp/>
        <stp>7a66792a-4745-40df-973f-748325426950</stp>
        <tr r="C29" s="1"/>
      </tp>
      <tp>
        <v>9</v>
        <stp/>
        <stp>2cc85322-8433-4f4d-80c9-492024145c27</stp>
        <tr r="C98" s="1"/>
      </tp>
    </main>
    <main first="rtdsrv_14a128f30c344e0aa834261d5904b48b">
      <tp>
        <v>9</v>
        <stp/>
        <stp>13f1768c-d356-48fb-9c35-4e43fa1d7583</stp>
        <tr r="G6" s="2"/>
      </tp>
      <tp>
        <v>9</v>
        <stp/>
        <stp>f224f718-e725-46e0-9a26-071f46f79b60</stp>
        <tr r="C33" s="1"/>
      </tp>
      <tp>
        <v>9</v>
        <stp/>
        <stp>01f870a4-2896-418d-9d4a-ec9d995a9835</stp>
        <tr r="C18" s="1"/>
      </tp>
      <tp>
        <v>9</v>
        <stp/>
        <stp>00f08654-d842-49eb-b107-5d888c128643</stp>
        <tr r="C57" s="1"/>
      </tp>
    </main>
    <main first="rtdsrv_14a128f30c344e0aa834261d5904b48b">
      <tp>
        <v>9</v>
        <stp/>
        <stp>836f4a18-4897-4602-afc1-ed4f0785ce8a</stp>
        <tr r="C94" s="1"/>
      </tp>
      <tp>
        <v>9</v>
        <stp/>
        <stp>09a82ccc-8dfe-46bb-b478-870cdbd39c04</stp>
        <tr r="C32" s="1"/>
      </tp>
      <tp>
        <v>9</v>
        <stp/>
        <stp>4b7935aa-ecde-4f47-8ae3-739c33b5dae4</stp>
        <tr r="C7" s="1"/>
      </tp>
      <tp>
        <v>9</v>
        <stp/>
        <stp>71c7d47b-0791-46b6-84ef-aafb26aab066</stp>
        <tr r="C50" s="1"/>
      </tp>
      <tp>
        <v>9</v>
        <stp/>
        <stp>eb7bd034-dea3-4234-8753-4e5c5f1705c4</stp>
        <tr r="H4" s="2"/>
      </tp>
    </main>
    <main first="rtdsrv_14a128f30c344e0aa834261d5904b48b">
      <tp>
        <v>9</v>
        <stp/>
        <stp>6250a736-18e4-4356-8771-227ee3e92439</stp>
        <tr r="C53" s="1"/>
      </tp>
      <tp>
        <v>9</v>
        <stp/>
        <stp>fbe2c046-0313-4694-8968-faa39ebf4d76</stp>
        <tr r="C66" s="1"/>
      </tp>
      <tp>
        <v>9</v>
        <stp/>
        <stp>a22795fc-fb55-47c3-93a8-b12e5abbec37</stp>
        <tr r="C87" s="1"/>
      </tp>
    </main>
    <main first="rtdsrv_14a128f30c344e0aa834261d5904b48b">
      <tp>
        <v>9</v>
        <stp/>
        <stp>89d97826-cba7-42e2-ac01-ece3da501b0b</stp>
        <tr r="C99" s="1"/>
      </tp>
      <tp>
        <v>9</v>
        <stp/>
        <stp>3bd972c2-945a-47e0-a991-b11e3bd4b34f</stp>
        <tr r="C9" s="1"/>
      </tp>
      <tp>
        <v>9</v>
        <stp/>
        <stp>25db10e2-31bd-4822-8f29-644b51b4d3aa</stp>
        <tr r="C5" s="2"/>
      </tp>
      <tp>
        <v>9</v>
        <stp/>
        <stp>dec2d36f-dcc4-4a17-af64-b1e36aac0c8a</stp>
        <tr r="C75" s="1"/>
      </tp>
      <tp>
        <v>9</v>
        <stp/>
        <stp>5fbaf62d-6b2b-4769-9c90-6e56df852e83</stp>
        <tr r="C30" s="1"/>
      </tp>
    </main>
    <main first="rtdsrv_14a128f30c344e0aa834261d5904b48b">
      <tp>
        <v>9</v>
        <stp/>
        <stp>e4b7d4f9-582c-40bc-bf7c-665dfaa909ef</stp>
        <tr r="C79" s="1"/>
      </tp>
    </main>
    <main first="rtdsrv_14a128f30c344e0aa834261d5904b48b">
      <tp>
        <v>9</v>
        <stp/>
        <stp>3e946431-d1ef-4a18-a515-8d5c7dfb4318</stp>
        <tr r="C6" s="2"/>
      </tp>
    </main>
    <main first="rtdsrv_14a128f30c344e0aa834261d5904b48b">
      <tp>
        <v>9</v>
        <stp/>
        <stp>f2b6645f-ec71-409b-abf6-96281f7ce8fb</stp>
        <tr r="C60" s="1"/>
      </tp>
    </main>
    <main first="rtdsrv_14a128f30c344e0aa834261d5904b48b">
      <tp>
        <v>9</v>
        <stp/>
        <stp>73f620b7-e22f-4fe6-b68b-b611ae1144fd</stp>
        <tr r="D12" s="3"/>
      </tp>
      <tp>
        <v>9</v>
        <stp/>
        <stp>3baf0391-f050-4785-b0d8-8afa38aff0fd</stp>
        <tr r="C65" s="1"/>
      </tp>
      <tp>
        <v>9</v>
        <stp/>
        <stp>409104bd-9b34-4103-984a-cc486a64a643</stp>
        <tr r="C16" s="1"/>
      </tp>
    </main>
    <main first="rtdsrv_14a128f30c344e0aa834261d5904b48b">
      <tp>
        <v>9</v>
        <stp/>
        <stp>93121763-dfee-423d-b996-26298cfa5fec</stp>
        <tr r="C67" s="1"/>
      </tp>
      <tp>
        <v>9</v>
        <stp/>
        <stp>e4a29719-7897-4d69-94be-6d3a669f23d8</stp>
        <tr r="C35" s="1"/>
      </tp>
    </main>
    <main first="rtdsrv_14a128f30c344e0aa834261d5904b48b">
      <tp>
        <v>9</v>
        <stp/>
        <stp>71fa5a2d-c929-4757-9e3b-19d58f1f5fb6</stp>
        <tr r="C84" s="1"/>
      </tp>
      <tp>
        <v>9</v>
        <stp/>
        <stp>3fd94831-4beb-4a30-ac4a-a52b03e86f56</stp>
        <tr r="C48" s="1"/>
      </tp>
    </main>
    <main first="rtdsrv_14a128f30c344e0aa834261d5904b48b">
      <tp>
        <v>9</v>
        <stp/>
        <stp>9b9724e6-95f2-4759-b3c2-af281feb18a4</stp>
        <tr r="C26" s="1"/>
      </tp>
      <tp>
        <v>9</v>
        <stp/>
        <stp>6c882fc1-860a-4b48-8a1a-b277c3ffa85a</stp>
        <tr r="C102" s="1"/>
      </tp>
    </main>
    <main first="rtdsrv_14a128f30c344e0aa834261d5904b48b">
      <tp>
        <v>9</v>
        <stp/>
        <stp>0fa9a62e-9c98-4877-ad00-faac6f36cd6f</stp>
        <tr r="C63" s="1"/>
      </tp>
    </main>
    <main first="rtdsrv_14a128f30c344e0aa834261d5904b48b">
      <tp>
        <v>9</v>
        <stp/>
        <stp>18af38d7-bee2-450f-a91e-78789b07cb91</stp>
        <tr r="C76" s="1"/>
      </tp>
      <tp>
        <v>9</v>
        <stp/>
        <stp>ab8e0b64-e117-40db-a593-6d98835edd97</stp>
        <tr r="I4" s="2"/>
      </tp>
    </main>
    <main first="rtdsrv_14a128f30c344e0aa834261d5904b48b">
      <tp>
        <v>9</v>
        <stp/>
        <stp>1d03a191-d2c0-4f6e-b2a9-a98e0a25bac2</stp>
        <tr r="G3" s="2"/>
      </tp>
    </main>
    <main first="rtdsrv_14a128f30c344e0aa834261d5904b48b">
      <tp>
        <v>9</v>
        <stp/>
        <stp>f57a60dc-0f12-4cd1-8c87-4979d1b6e83d</stp>
        <tr r="C64" s="1"/>
      </tp>
    </main>
    <main first="rtdsrv_14a128f30c344e0aa834261d5904b48b">
      <tp>
        <v>9</v>
        <stp/>
        <stp>9df06c51-27ee-43f4-8541-3f7e59a4ff99</stp>
        <tr r="C20" s="1"/>
      </tp>
    </main>
    <main first="rtdsrv_14a128f30c344e0aa834261d5904b48b">
      <tp>
        <v>9</v>
        <stp/>
        <stp>8fae5616-fc37-41bf-b491-e046c1016d66</stp>
        <tr r="D13" s="3"/>
      </tp>
      <tp>
        <v>9</v>
        <stp/>
        <stp>565a27d2-9569-49d4-bc35-ef9be7158e60</stp>
        <tr r="C56" s="1"/>
      </tp>
      <tp>
        <v>9</v>
        <stp/>
        <stp>b9159a51-3907-467b-837d-bca0ad4612f5</stp>
        <tr r="D21" s="3"/>
      </tp>
      <tp>
        <v>9</v>
        <stp/>
        <stp>e65ce15c-adec-4933-aba7-80467962e654</stp>
        <tr r="G5" s="2"/>
      </tp>
      <tp>
        <v>9</v>
        <stp/>
        <stp>1fa9113a-e347-4ab9-9274-5da5a0a3bc51</stp>
        <tr r="D19" s="3"/>
      </tp>
    </main>
    <main first="rtdsrv_14a128f30c344e0aa834261d5904b48b">
      <tp>
        <v>9</v>
        <stp/>
        <stp>4c8ef173-66a7-4593-8982-4ea84678a63a</stp>
        <tr r="C90" s="1"/>
      </tp>
      <tp>
        <v>9</v>
        <stp/>
        <stp>7b4e7362-ab9e-4f4e-91d7-75d546f0b889</stp>
        <tr r="C82" s="1"/>
      </tp>
    </main>
    <main first="rtdsrv_14a128f30c344e0aa834261d5904b48b">
      <tp>
        <v>9</v>
        <stp/>
        <stp>bd6cdf18-7044-45ee-b0bd-e9b92e7c7dbf</stp>
        <tr r="K7" s="2"/>
      </tp>
    </main>
    <main first="rtdsrv_14a128f30c344e0aa834261d5904b48b">
      <tp>
        <v>9</v>
        <stp/>
        <stp>bece6fa8-43e0-4089-a225-944676a2b424</stp>
        <tr r="C25" s="1"/>
      </tp>
      <tp>
        <v>9</v>
        <stp/>
        <stp>93545d13-ab58-4bff-8242-c9c23c50342f</stp>
        <tr r="K6" s="2"/>
      </tp>
    </main>
    <main first="rtdsrv_14a128f30c344e0aa834261d5904b48b">
      <tp>
        <v>9</v>
        <stp/>
        <stp>739e22a9-d05b-4fe9-b461-0c1aad7bdd6b</stp>
        <tr r="K5" s="2"/>
      </tp>
      <tp>
        <v>9</v>
        <stp/>
        <stp>7860c354-332d-44c5-b5db-93b3ef58c5bd</stp>
        <tr r="C31" s="1"/>
      </tp>
    </main>
    <main first="rtdsrv_14a128f30c344e0aa834261d5904b48b">
      <tp>
        <v>9</v>
        <stp/>
        <stp>ad23ef53-2622-4f02-95ee-6e855844d397</stp>
        <tr r="G7" s="2"/>
      </tp>
      <tp>
        <v>9</v>
        <stp/>
        <stp>bf554a63-0759-4b78-8555-e2434e783d43</stp>
        <tr r="C40" s="1"/>
      </tp>
    </main>
    <main first="rtdsrv_14a128f30c344e0aa834261d5904b48b">
      <tp>
        <v>1</v>
        <stp/>
        <stp>8b9f8e89-af5b-4dfb-a020-ac206dc6298e</stp>
        <tr r="D2" s="3"/>
        <tr r="D3" s="3"/>
      </tp>
      <tp>
        <v>9</v>
        <stp/>
        <stp>0dd8fae0-cc32-4161-9365-3ba2e385c857</stp>
        <tr r="C28" s="1"/>
      </tp>
    </main>
    <main first="rtdsrv_14a128f30c344e0aa834261d5904b48b">
      <tp>
        <v>9</v>
        <stp/>
        <stp>c0d1cacc-5636-4035-8c5f-88e180900d38</stp>
        <tr r="C13" s="1"/>
      </tp>
      <tp>
        <v>9</v>
        <stp/>
        <stp>e7a2a119-2a6a-4956-959f-ad67b6e2fa33</stp>
        <tr r="C2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9460-81FC-4BC2-B92D-65FDD83E0350}">
  <dimension ref="B1:E34"/>
  <sheetViews>
    <sheetView tabSelected="1" workbookViewId="0">
      <selection activeCell="D2" sqref="D2"/>
    </sheetView>
  </sheetViews>
  <sheetFormatPr defaultRowHeight="14.6" x14ac:dyDescent="0.4"/>
  <cols>
    <col min="1" max="1" width="6.23046875" customWidth="1"/>
    <col min="2" max="2" width="11.84375" style="6" customWidth="1"/>
    <col min="3" max="3" width="20.61328125" style="6" customWidth="1"/>
    <col min="4" max="4" width="54.61328125" bestFit="1" customWidth="1"/>
  </cols>
  <sheetData>
    <row r="1" spans="2:5" s="1" customFormat="1" x14ac:dyDescent="0.4">
      <c r="B1" s="18" t="s">
        <v>0</v>
      </c>
      <c r="C1" s="18" t="s">
        <v>16</v>
      </c>
    </row>
    <row r="2" spans="2:5" x14ac:dyDescent="0.4">
      <c r="B2" s="15"/>
      <c r="C2" s="15"/>
      <c r="D2" t="str" cm="1">
        <f t="array" ref="D2">_xll.YahooQuote("","")</f>
        <v>YahooXL, Version=2.0.0.0, Culture=neutral, PublicKeyToken=null</v>
      </c>
      <c r="E2" s="20"/>
    </row>
    <row r="3" spans="2:5" x14ac:dyDescent="0.4">
      <c r="B3" s="15"/>
      <c r="C3" s="15"/>
      <c r="D3" t="str" cm="1">
        <f t="array" ref="D3">_xll.YahooQuote("","")</f>
        <v>YahooXL, Version=2.0.0.0, Culture=neutral, PublicKeyToken=null</v>
      </c>
      <c r="E3" s="20"/>
    </row>
    <row r="4" spans="2:5" x14ac:dyDescent="0.4">
      <c r="B4" s="16"/>
      <c r="C4" s="15"/>
      <c r="D4" t="str" cm="1">
        <f t="array" ref="D4">_xll.YahooQuote("","")</f>
        <v>YahooXL, Version=1.1.0.0, Culture=neutral, PublicKeyToken=null</v>
      </c>
    </row>
    <row r="5" spans="2:5" x14ac:dyDescent="0.4">
      <c r="B5" s="15" t="s">
        <v>21</v>
      </c>
      <c r="C5" s="15"/>
      <c r="D5" t="str" cm="1">
        <f t="array" ref="D5">_xll.YahooQuote(B5,C5)</f>
        <v>C:\prg\myProjects\GitHub\YahooXL\YahooXL\bin\Debug\net9.0-windows8.0\YahooXL-AddIn64.xll</v>
      </c>
    </row>
    <row r="6" spans="2:5" x14ac:dyDescent="0.4">
      <c r="B6" s="15"/>
      <c r="C6" s="15" t="s">
        <v>25</v>
      </c>
      <c r="D6" t="str" cm="1">
        <f t="array" ref="D6">_xll.YahooQuote(B6,C6)</f>
        <v>LongName</v>
      </c>
    </row>
    <row r="7" spans="2:5" x14ac:dyDescent="0.4">
      <c r="B7" s="15"/>
      <c r="C7" s="15">
        <v>6</v>
      </c>
      <c r="D7" t="str" cm="1">
        <f t="array" ref="D7">_xll.YahooQuote(B7,C7)</f>
        <v>LongName</v>
      </c>
    </row>
    <row r="8" spans="2:5" x14ac:dyDescent="0.4">
      <c r="B8" s="15"/>
      <c r="C8" s="15">
        <v>200</v>
      </c>
      <c r="D8" t="str" cm="1">
        <f t="array" ref="D8">_xll.YahooQuote(B8,C8)</f>
        <v>#Property name index: 0..100.</v>
      </c>
    </row>
    <row r="9" spans="2:5" x14ac:dyDescent="0.4">
      <c r="B9" s="15"/>
      <c r="C9" s="15" t="s">
        <v>22</v>
      </c>
      <c r="D9" t="str" cm="1">
        <f t="array" ref="D9">_xll.YahooQuote(B9,C9)</f>
        <v>#Invalid property name: 'invalid prop'.</v>
      </c>
    </row>
    <row r="10" spans="2:5" x14ac:dyDescent="0.4">
      <c r="B10" s="15" t="s">
        <v>23</v>
      </c>
      <c r="C10" s="15" t="s">
        <v>22</v>
      </c>
      <c r="D10" t="str" cm="1">
        <f t="array" ref="D10">_xll.YahooQuote(B10,C10)</f>
        <v>#Invalid property name: 'invalid prop'.</v>
      </c>
    </row>
    <row r="11" spans="2:5" x14ac:dyDescent="0.4">
      <c r="B11" s="15" t="s">
        <v>18</v>
      </c>
      <c r="C11" s="15" t="s">
        <v>22</v>
      </c>
      <c r="D11" t="str" cm="1">
        <f t="array" ref="D11">_xll.YahooQuote(B11,C11)</f>
        <v>#Invalid property name: 'invalid prop'.</v>
      </c>
    </row>
    <row r="12" spans="2:5" x14ac:dyDescent="0.4">
      <c r="B12" s="15" t="s">
        <v>18</v>
      </c>
      <c r="C12" s="15" t="s">
        <v>25</v>
      </c>
      <c r="D12" t="str" cm="1">
        <f t="array" ref="D12">_xll.YahooQuote(B12,C12)</f>
        <v>International Business Machines Corporation</v>
      </c>
    </row>
    <row r="13" spans="2:5" x14ac:dyDescent="0.4">
      <c r="B13" s="15" t="s">
        <v>29</v>
      </c>
      <c r="C13" s="15" t="s">
        <v>17</v>
      </c>
      <c r="D13" t="str" cm="1">
        <f t="array" ref="D13">_xll.YahooQuote(B13,C13)</f>
        <v>IBM</v>
      </c>
    </row>
    <row r="14" spans="2:5" x14ac:dyDescent="0.4">
      <c r="B14" s="15" t="s">
        <v>18</v>
      </c>
      <c r="C14" s="15">
        <v>6</v>
      </c>
      <c r="D14" t="str" cm="1">
        <f t="array" ref="D14">_xll.YahooQuote(B14,C14)</f>
        <v>USD</v>
      </c>
    </row>
    <row r="15" spans="2:5" x14ac:dyDescent="0.4">
      <c r="B15" s="15" t="s">
        <v>18</v>
      </c>
      <c r="C15" s="17"/>
      <c r="D15" s="7" cm="1">
        <f t="array" ref="D15">_xll.YahooQuote(B15,C15)</f>
        <v>284.31</v>
      </c>
    </row>
    <row r="16" spans="2:5" x14ac:dyDescent="0.4">
      <c r="B16" s="15" t="s">
        <v>23</v>
      </c>
      <c r="C16" s="15"/>
      <c r="D16" t="str" cm="1">
        <f t="array" ref="D16">_xll.YahooQuote(B16,C16)</f>
        <v>#Invalid symbol name: 'invalid sym'.</v>
      </c>
    </row>
    <row r="17" spans="2:4" x14ac:dyDescent="0.4">
      <c r="B17" s="15" t="s">
        <v>24</v>
      </c>
      <c r="C17" s="15"/>
      <c r="D17" t="str" cm="1">
        <f t="array" ref="D17">_xll.YahooQuote(B17,C17)</f>
        <v>#Symbol not found: 'UNKNOWN'.</v>
      </c>
    </row>
    <row r="18" spans="2:4" x14ac:dyDescent="0.4">
      <c r="B18" s="15" t="s">
        <v>18</v>
      </c>
      <c r="C18" s="15" t="s">
        <v>17</v>
      </c>
      <c r="D18" t="str" cm="1">
        <f t="array" ref="D18">_xll.YahooQuote(B18,C18)</f>
        <v>IBM</v>
      </c>
    </row>
    <row r="19" spans="2:4" x14ac:dyDescent="0.4">
      <c r="B19" s="15" t="s">
        <v>18</v>
      </c>
      <c r="C19" s="15" t="s">
        <v>26</v>
      </c>
      <c r="D19" t="str" cm="1">
        <f t="array" ref="D19">_xll.YahooQuote(B19,C19)</f>
        <v>USD=X</v>
      </c>
    </row>
    <row r="20" spans="2:4" x14ac:dyDescent="0.4">
      <c r="B20" s="15" t="s">
        <v>27</v>
      </c>
      <c r="C20" s="16"/>
      <c r="D20" t="str" cm="1">
        <f t="array" ref="D20">_xll.YahooQuote(B20,C20)</f>
        <v>#Invalid symbol name: 'JPY=X'.</v>
      </c>
    </row>
    <row r="21" spans="2:4" x14ac:dyDescent="0.4">
      <c r="B21" s="15" t="s">
        <v>28</v>
      </c>
      <c r="C21" s="16"/>
      <c r="D21" s="7" cm="1">
        <f t="array" ref="D21">_xll.YahooQuote(B21,C21)</f>
        <v>149.45400000000001</v>
      </c>
    </row>
    <row r="22" spans="2:4" x14ac:dyDescent="0.4">
      <c r="B22" s="15"/>
      <c r="C22" s="15"/>
    </row>
    <row r="23" spans="2:4" x14ac:dyDescent="0.4">
      <c r="B23" s="15"/>
      <c r="C23" s="15"/>
    </row>
    <row r="24" spans="2:4" x14ac:dyDescent="0.4">
      <c r="B24" s="17"/>
      <c r="C24" s="17"/>
    </row>
    <row r="25" spans="2:4" x14ac:dyDescent="0.4">
      <c r="B25" s="17"/>
      <c r="C25" s="17"/>
    </row>
    <row r="26" spans="2:4" x14ac:dyDescent="0.4">
      <c r="B26" s="17"/>
      <c r="C26" s="17"/>
    </row>
    <row r="27" spans="2:4" x14ac:dyDescent="0.4">
      <c r="B27" s="17"/>
      <c r="C27" s="17"/>
    </row>
    <row r="28" spans="2:4" x14ac:dyDescent="0.4">
      <c r="B28" s="17"/>
      <c r="C28" s="17"/>
    </row>
    <row r="29" spans="2:4" x14ac:dyDescent="0.4">
      <c r="B29" s="17"/>
      <c r="C29" s="17"/>
    </row>
    <row r="30" spans="2:4" x14ac:dyDescent="0.4">
      <c r="B30" s="17"/>
      <c r="C30" s="17"/>
    </row>
    <row r="31" spans="2:4" x14ac:dyDescent="0.4">
      <c r="B31" s="17"/>
      <c r="C31" s="17"/>
    </row>
    <row r="32" spans="2:4" x14ac:dyDescent="0.4">
      <c r="B32" s="17"/>
      <c r="C32" s="17"/>
    </row>
    <row r="33" spans="2:3" x14ac:dyDescent="0.4">
      <c r="B33" s="17"/>
      <c r="C33" s="17"/>
    </row>
    <row r="34" spans="2:3" x14ac:dyDescent="0.4">
      <c r="B34" s="17"/>
      <c r="C3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/>
  </sheetViews>
  <sheetFormatPr defaultRowHeight="14.6" x14ac:dyDescent="0.4"/>
  <cols>
    <col min="1" max="1" width="6.23046875" customWidth="1"/>
    <col min="2" max="2" width="31.69140625" customWidth="1"/>
    <col min="3" max="3" width="49.4609375" style="6" customWidth="1"/>
    <col min="4" max="4" width="10.921875" style="6" customWidth="1"/>
    <col min="5" max="5" width="27.84375" bestFit="1" customWidth="1"/>
    <col min="6" max="6" width="20.53515625" customWidth="1"/>
  </cols>
  <sheetData>
    <row r="1" spans="1:6" x14ac:dyDescent="0.4">
      <c r="B1" s="19" t="s">
        <v>16</v>
      </c>
      <c r="C1" s="19" t="s">
        <v>18</v>
      </c>
      <c r="D1" s="18" t="s">
        <v>15</v>
      </c>
    </row>
    <row r="2" spans="1:6" x14ac:dyDescent="0.4">
      <c r="A2">
        <v>0</v>
      </c>
      <c r="B2" t="str">
        <f>+_xll.YahooQuote("",$A2)</f>
        <v>Symbol</v>
      </c>
      <c r="C2" s="6" t="str">
        <f>+_xll.YahooQuote(C$1,$B2)</f>
        <v>IBM</v>
      </c>
      <c r="D2" s="6">
        <f>TYPE(C2)</f>
        <v>2</v>
      </c>
    </row>
    <row r="3" spans="1:6" x14ac:dyDescent="0.4">
      <c r="A3">
        <f t="shared" ref="A3:A68" si="0">+A2+1</f>
        <v>1</v>
      </c>
      <c r="B3" t="str">
        <f>+_xll.YahooQuote("",$A3)</f>
        <v>UnderlyingSymbol</v>
      </c>
      <c r="C3" s="6" t="str">
        <f>+_xll.YahooQuote(C$1,$B3)</f>
        <v/>
      </c>
      <c r="D3" s="6">
        <f>TYPE(C3)</f>
        <v>2</v>
      </c>
    </row>
    <row r="4" spans="1:6" x14ac:dyDescent="0.4">
      <c r="A4">
        <f t="shared" si="0"/>
        <v>2</v>
      </c>
      <c r="B4" t="str">
        <f>+_xll.YahooQuote("",$A4)</f>
        <v>UnderlyingExchangeSymbol</v>
      </c>
      <c r="C4" s="6" t="str">
        <f>+_xll.YahooQuote(C$1,$B4)</f>
        <v/>
      </c>
      <c r="D4" s="6">
        <f t="shared" ref="D4:D67" si="1">TYPE(C4)</f>
        <v>2</v>
      </c>
    </row>
    <row r="5" spans="1:6" x14ac:dyDescent="0.4">
      <c r="A5">
        <f t="shared" si="0"/>
        <v>3</v>
      </c>
      <c r="B5" t="str">
        <f>+_xll.YahooQuote("",$A5)</f>
        <v>HeadSymbolAsString</v>
      </c>
      <c r="C5" s="6" t="str">
        <f>+_xll.YahooQuote(C$1,$B5)</f>
        <v/>
      </c>
      <c r="D5" s="6">
        <f t="shared" si="1"/>
        <v>2</v>
      </c>
      <c r="E5" t="str" cm="1">
        <f t="array" ref="E5">_xll.Dna()</f>
        <v>18:51:04</v>
      </c>
      <c r="F5" t="s">
        <v>30</v>
      </c>
    </row>
    <row r="6" spans="1:6" x14ac:dyDescent="0.4">
      <c r="A6">
        <f t="shared" si="0"/>
        <v>4</v>
      </c>
      <c r="B6" t="str">
        <f>+_xll.YahooQuote("",$A6)</f>
        <v>Currency</v>
      </c>
      <c r="C6" s="6" t="str">
        <f>+_xll.YahooQuote(C$1,$B6)</f>
        <v>USD=X</v>
      </c>
      <c r="D6" s="6">
        <f t="shared" si="1"/>
        <v>2</v>
      </c>
      <c r="E6" t="str" cm="1">
        <f t="array" ref="E6">_xll.DnaAsync()</f>
        <v>18:51:10</v>
      </c>
      <c r="F6" t="s">
        <v>31</v>
      </c>
    </row>
    <row r="7" spans="1:6" x14ac:dyDescent="0.4">
      <c r="A7">
        <f t="shared" si="0"/>
        <v>5</v>
      </c>
      <c r="B7" t="str">
        <f>+_xll.YahooQuote("",$A7)</f>
        <v>FinancialCurrency</v>
      </c>
      <c r="C7" s="6" t="str">
        <f>+_xll.YahooQuote(C$1,$B7)</f>
        <v>USD</v>
      </c>
      <c r="D7" s="6">
        <f t="shared" si="1"/>
        <v>2</v>
      </c>
      <c r="E7" t="str" cm="1">
        <f t="array" ref="E7">_xll.DnaRtdCompleted()</f>
        <v>18:51:17</v>
      </c>
      <c r="F7" t="s">
        <v>32</v>
      </c>
    </row>
    <row r="8" spans="1:6" x14ac:dyDescent="0.4">
      <c r="A8">
        <f t="shared" si="0"/>
        <v>6</v>
      </c>
      <c r="B8" t="str">
        <f>+_xll.YahooQuote("",$A8)</f>
        <v>LongName</v>
      </c>
      <c r="C8" s="6" t="str">
        <f>+_xll.YahooQuote(C$1,$B8)</f>
        <v>International Business Machines Corporation</v>
      </c>
      <c r="D8" s="6">
        <f t="shared" si="1"/>
        <v>2</v>
      </c>
      <c r="E8" t="e" cm="1">
        <f t="array" aca="1" ref="E8" ca="1">_xll.DnaRtdClock()</f>
        <v>#NAME?</v>
      </c>
      <c r="F8" t="s">
        <v>33</v>
      </c>
    </row>
    <row r="9" spans="1:6" x14ac:dyDescent="0.4">
      <c r="A9">
        <f t="shared" si="0"/>
        <v>7</v>
      </c>
      <c r="B9" t="str">
        <f>+_xll.YahooQuote("",$A9)</f>
        <v>ShortName</v>
      </c>
      <c r="C9" s="6" t="str">
        <f>+_xll.YahooQuote(C$1,$B9)</f>
        <v>International Business Machines</v>
      </c>
      <c r="D9" s="6">
        <f t="shared" si="1"/>
        <v>2</v>
      </c>
      <c r="E9" t="str" cm="1">
        <f t="array" ref="E9">_xll.DnaRtd()</f>
        <v>19:30:53</v>
      </c>
      <c r="F9" s="20">
        <v>0.81311342592592595</v>
      </c>
    </row>
    <row r="10" spans="1:6" x14ac:dyDescent="0.4">
      <c r="A10">
        <f t="shared" si="0"/>
        <v>8</v>
      </c>
      <c r="B10" t="str">
        <f>+_xll.YahooQuote("",$A10)</f>
        <v>Language</v>
      </c>
      <c r="C10" s="6" t="str">
        <f>+_xll.YahooQuote(C$1,$B10)</f>
        <v>en-US</v>
      </c>
      <c r="D10" s="6">
        <f t="shared" si="1"/>
        <v>2</v>
      </c>
      <c r="F10" s="7"/>
    </row>
    <row r="11" spans="1:6" x14ac:dyDescent="0.4">
      <c r="A11">
        <f t="shared" si="0"/>
        <v>9</v>
      </c>
      <c r="B11" t="str">
        <f>+_xll.YahooQuote("",$A11)</f>
        <v>Region</v>
      </c>
      <c r="C11" s="6" t="str">
        <f>+_xll.YahooQuote(C$1,$B11)</f>
        <v>US</v>
      </c>
      <c r="D11" s="6">
        <f t="shared" si="1"/>
        <v>2</v>
      </c>
      <c r="F11" s="7"/>
    </row>
    <row r="12" spans="1:6" x14ac:dyDescent="0.4">
      <c r="A12">
        <f t="shared" si="0"/>
        <v>10</v>
      </c>
      <c r="B12" t="str">
        <f>+_xll.YahooQuote("",$A12)</f>
        <v>QuoteType</v>
      </c>
      <c r="C12" s="6" t="str">
        <f>+_xll.YahooQuote(C$1,$B12)</f>
        <v>EQUITY</v>
      </c>
      <c r="D12" s="6">
        <f t="shared" si="1"/>
        <v>2</v>
      </c>
      <c r="E12">
        <v>3445</v>
      </c>
    </row>
    <row r="13" spans="1:6" x14ac:dyDescent="0.4">
      <c r="A13">
        <f t="shared" si="0"/>
        <v>11</v>
      </c>
      <c r="B13" t="str">
        <f>+_xll.YahooQuote("",$A13)</f>
        <v>QuoteSourceName</v>
      </c>
      <c r="C13" s="6" t="str">
        <f>+_xll.YahooQuote(C$1,$B13)</f>
        <v>Delayed Quote</v>
      </c>
      <c r="D13" s="6">
        <f t="shared" si="1"/>
        <v>2</v>
      </c>
    </row>
    <row r="14" spans="1:6" x14ac:dyDescent="0.4">
      <c r="A14">
        <f t="shared" si="0"/>
        <v>12</v>
      </c>
      <c r="B14" t="str">
        <f>+_xll.YahooQuote("",$A14)</f>
        <v>DisplayName</v>
      </c>
      <c r="C14" s="6" t="str">
        <f>+_xll.YahooQuote(C$1,$B14)</f>
        <v>IBM</v>
      </c>
      <c r="D14" s="6">
        <f t="shared" si="1"/>
        <v>2</v>
      </c>
    </row>
    <row r="15" spans="1:6" x14ac:dyDescent="0.4">
      <c r="A15">
        <f t="shared" si="0"/>
        <v>13</v>
      </c>
      <c r="B15" t="str">
        <f>+_xll.YahooQuote("",$A15)</f>
        <v>TypeDisp</v>
      </c>
      <c r="C15" s="6" t="str">
        <f>+_xll.YahooQuote(C$1,$B15)</f>
        <v>Equity</v>
      </c>
      <c r="D15" s="6">
        <f t="shared" si="1"/>
        <v>2</v>
      </c>
    </row>
    <row r="16" spans="1:6" x14ac:dyDescent="0.4">
      <c r="A16">
        <f t="shared" si="0"/>
        <v>14</v>
      </c>
      <c r="B16" t="str">
        <f>+_xll.YahooQuote("",$A16)</f>
        <v>MessageBoardId</v>
      </c>
      <c r="C16" s="6" t="str">
        <f>+_xll.YahooQuote(C$1,$B16)</f>
        <v>finmb_112350</v>
      </c>
      <c r="D16" s="6">
        <f t="shared" si="1"/>
        <v>2</v>
      </c>
    </row>
    <row r="17" spans="1:4" x14ac:dyDescent="0.4">
      <c r="A17">
        <f t="shared" si="0"/>
        <v>15</v>
      </c>
      <c r="B17" t="str">
        <f>+_xll.YahooQuote("",$A17)</f>
        <v>ContractSymbol</v>
      </c>
      <c r="C17" s="6" t="str">
        <f>+_xll.YahooQuote(C$1,$B17)</f>
        <v/>
      </c>
      <c r="D17" s="6">
        <f t="shared" si="1"/>
        <v>2</v>
      </c>
    </row>
    <row r="18" spans="1:4" x14ac:dyDescent="0.4">
      <c r="A18">
        <f t="shared" si="0"/>
        <v>16</v>
      </c>
      <c r="B18" t="str">
        <f>+_xll.YahooQuote("",$A18)</f>
        <v>Tradeable</v>
      </c>
      <c r="C18" s="6" t="b">
        <f>+_xll.YahooQuote(C$1,$B18)</f>
        <v>0</v>
      </c>
      <c r="D18" s="6">
        <f t="shared" si="1"/>
        <v>4</v>
      </c>
    </row>
    <row r="19" spans="1:4" x14ac:dyDescent="0.4">
      <c r="A19">
        <f t="shared" si="0"/>
        <v>17</v>
      </c>
      <c r="B19" t="str">
        <f>+_xll.YahooQuote("",$A19)</f>
        <v>CryptoTradeable</v>
      </c>
      <c r="C19" s="6" t="b">
        <f>+_xll.YahooQuote(C$1,$B19)</f>
        <v>0</v>
      </c>
      <c r="D19" s="6">
        <f t="shared" si="1"/>
        <v>4</v>
      </c>
    </row>
    <row r="20" spans="1:4" x14ac:dyDescent="0.4">
      <c r="A20">
        <f t="shared" si="0"/>
        <v>18</v>
      </c>
      <c r="B20" t="str">
        <f>+_xll.YahooQuote("",$A20)</f>
        <v>Triggerable</v>
      </c>
      <c r="C20" s="6" t="b">
        <f>+_xll.YahooQuote(C$1,$B20)</f>
        <v>1</v>
      </c>
      <c r="D20" s="6">
        <f t="shared" si="1"/>
        <v>4</v>
      </c>
    </row>
    <row r="21" spans="1:4" x14ac:dyDescent="0.4">
      <c r="A21">
        <f t="shared" si="0"/>
        <v>19</v>
      </c>
      <c r="B21" t="str">
        <f>+_xll.YahooQuote("",$A21)</f>
        <v>EsgPopulated</v>
      </c>
      <c r="C21" s="6" t="b">
        <f>+_xll.YahooQuote(C$1,$B21)</f>
        <v>0</v>
      </c>
      <c r="D21" s="6">
        <f t="shared" si="1"/>
        <v>4</v>
      </c>
    </row>
    <row r="22" spans="1:4" x14ac:dyDescent="0.4">
      <c r="A22">
        <f t="shared" si="0"/>
        <v>20</v>
      </c>
      <c r="B22" t="str">
        <f>+_xll.YahooQuote("",$A22)</f>
        <v>PriceHint</v>
      </c>
      <c r="C22" s="6">
        <f>+_xll.YahooQuote(C$1,$B22)</f>
        <v>2</v>
      </c>
      <c r="D22" s="6">
        <f t="shared" si="1"/>
        <v>1</v>
      </c>
    </row>
    <row r="23" spans="1:4" x14ac:dyDescent="0.4">
      <c r="A23">
        <f t="shared" si="0"/>
        <v>21</v>
      </c>
      <c r="B23" t="str">
        <f>+_xll.YahooQuote("",$A23)</f>
        <v>SourceInterval</v>
      </c>
      <c r="C23" s="6">
        <f>+_xll.YahooQuote(C$1,$B23)</f>
        <v>15</v>
      </c>
      <c r="D23" s="6">
        <f t="shared" si="1"/>
        <v>1</v>
      </c>
    </row>
    <row r="24" spans="1:4" x14ac:dyDescent="0.4">
      <c r="A24">
        <f t="shared" si="0"/>
        <v>22</v>
      </c>
      <c r="B24" t="str">
        <f>+_xll.YahooQuote("",$A24)</f>
        <v>FirstTradeDate</v>
      </c>
      <c r="C24" s="6" t="str">
        <f>+_xll.YahooQuote(C$1,$B24)</f>
        <v/>
      </c>
      <c r="D24" s="6">
        <f t="shared" si="1"/>
        <v>2</v>
      </c>
    </row>
    <row r="25" spans="1:4" x14ac:dyDescent="0.4">
      <c r="A25">
        <f t="shared" si="0"/>
        <v>23</v>
      </c>
      <c r="B25" t="str">
        <f>+_xll.YahooQuote("",$A25)</f>
        <v>Market</v>
      </c>
      <c r="C25" s="6" t="str">
        <f>+_xll.YahooQuote(C$1,$B25)</f>
        <v>us_market</v>
      </c>
      <c r="D25" s="6">
        <f t="shared" si="1"/>
        <v>2</v>
      </c>
    </row>
    <row r="26" spans="1:4" x14ac:dyDescent="0.4">
      <c r="A26">
        <f t="shared" si="0"/>
        <v>24</v>
      </c>
      <c r="B26" t="str">
        <f>+_xll.YahooQuote("",$A26)</f>
        <v>MarketState</v>
      </c>
      <c r="C26" s="6" t="str">
        <f>+_xll.YahooQuote(C$1,$B26)</f>
        <v>CLOSED</v>
      </c>
      <c r="D26" s="6">
        <f t="shared" si="1"/>
        <v>2</v>
      </c>
    </row>
    <row r="27" spans="1:4" x14ac:dyDescent="0.4">
      <c r="A27">
        <f t="shared" si="0"/>
        <v>25</v>
      </c>
      <c r="B27" t="str">
        <f>+_xll.YahooQuote("",$A27)</f>
        <v>MarketCap</v>
      </c>
      <c r="C27" s="6">
        <f>+_xll.YahooQuote(C$1,$B27)</f>
        <v>264840232960</v>
      </c>
      <c r="D27" s="6">
        <f t="shared" si="1"/>
        <v>1</v>
      </c>
    </row>
    <row r="28" spans="1:4" x14ac:dyDescent="0.4">
      <c r="A28">
        <f t="shared" si="0"/>
        <v>26</v>
      </c>
      <c r="B28" t="str">
        <f>+_xll.YahooQuote("",$A28)</f>
        <v>SharesOutstanding</v>
      </c>
      <c r="C28" s="6">
        <f>+_xll.YahooQuote(C$1,$B28)</f>
        <v>931519242</v>
      </c>
      <c r="D28" s="6">
        <f t="shared" si="1"/>
        <v>1</v>
      </c>
    </row>
    <row r="29" spans="1:4" x14ac:dyDescent="0.4">
      <c r="A29">
        <f t="shared" si="0"/>
        <v>27</v>
      </c>
      <c r="B29" t="str">
        <f>+_xll.YahooQuote("",$A29)</f>
        <v>OpenInterest</v>
      </c>
      <c r="C29" s="6" t="str">
        <f>+_xll.YahooQuote(C$1,$B29)</f>
        <v/>
      </c>
      <c r="D29" s="6">
        <f t="shared" si="1"/>
        <v>2</v>
      </c>
    </row>
    <row r="30" spans="1:4" x14ac:dyDescent="0.4">
      <c r="A30">
        <f t="shared" si="0"/>
        <v>28</v>
      </c>
      <c r="B30" t="str">
        <f>+_xll.YahooQuote("",$A30)</f>
        <v>Bid</v>
      </c>
      <c r="C30" s="6">
        <f>+_xll.YahooQuote(C$1,$B30)</f>
        <v>284.3</v>
      </c>
      <c r="D30" s="6">
        <f t="shared" si="1"/>
        <v>1</v>
      </c>
    </row>
    <row r="31" spans="1:4" x14ac:dyDescent="0.4">
      <c r="A31">
        <f t="shared" si="0"/>
        <v>29</v>
      </c>
      <c r="B31" t="str">
        <f>+_xll.YahooQuote("",$A31)</f>
        <v>BidSize</v>
      </c>
      <c r="C31" s="6">
        <f>+_xll.YahooQuote(C$1,$B31)</f>
        <v>1</v>
      </c>
      <c r="D31" s="6">
        <f t="shared" si="1"/>
        <v>1</v>
      </c>
    </row>
    <row r="32" spans="1:4" x14ac:dyDescent="0.4">
      <c r="A32">
        <f t="shared" si="0"/>
        <v>30</v>
      </c>
      <c r="B32" t="str">
        <f>+_xll.YahooQuote("",$A32)</f>
        <v>Ask</v>
      </c>
      <c r="C32" s="6">
        <f>+_xll.YahooQuote(C$1,$B32)</f>
        <v>284.85000000000002</v>
      </c>
      <c r="D32" s="6">
        <f t="shared" si="1"/>
        <v>1</v>
      </c>
    </row>
    <row r="33" spans="1:6" x14ac:dyDescent="0.4">
      <c r="A33">
        <f t="shared" si="0"/>
        <v>31</v>
      </c>
      <c r="B33" t="str">
        <f>+_xll.YahooQuote("",$A33)</f>
        <v>AskSize</v>
      </c>
      <c r="C33" s="6">
        <f>+_xll.YahooQuote(C$1,$B33)</f>
        <v>4</v>
      </c>
      <c r="D33" s="6">
        <f t="shared" si="1"/>
        <v>1</v>
      </c>
      <c r="E33" s="8"/>
      <c r="F33" s="9"/>
    </row>
    <row r="34" spans="1:6" x14ac:dyDescent="0.4">
      <c r="A34">
        <f t="shared" si="0"/>
        <v>32</v>
      </c>
      <c r="B34" t="str">
        <f>+_xll.YahooQuote("",$A34)</f>
        <v>RegularMarketPreviousClose</v>
      </c>
      <c r="C34" s="6">
        <f>+_xll.YahooQuote(C$1,$B34)</f>
        <v>281.44</v>
      </c>
      <c r="D34" s="6">
        <f t="shared" si="1"/>
        <v>1</v>
      </c>
      <c r="E34" s="8"/>
      <c r="F34" s="8"/>
    </row>
    <row r="35" spans="1:6" x14ac:dyDescent="0.4">
      <c r="A35">
        <f t="shared" si="0"/>
        <v>33</v>
      </c>
      <c r="B35" t="str">
        <f>+_xll.YahooQuote("",$A35)</f>
        <v>RegularMarketOpen</v>
      </c>
      <c r="C35" s="6">
        <f>+_xll.YahooQuote(C$1,$B35)</f>
        <v>280.51</v>
      </c>
      <c r="D35" s="6">
        <f t="shared" si="1"/>
        <v>1</v>
      </c>
      <c r="E35" s="8"/>
      <c r="F35" s="8"/>
    </row>
    <row r="36" spans="1:6" x14ac:dyDescent="0.4">
      <c r="A36">
        <f t="shared" si="0"/>
        <v>34</v>
      </c>
      <c r="B36" t="str">
        <f>+_xll.YahooQuote("",$A36)</f>
        <v>RegularMarketDayHigh</v>
      </c>
      <c r="C36" s="6">
        <f>+_xll.YahooQuote(C$1,$B36)</f>
        <v>288.82</v>
      </c>
      <c r="D36" s="6">
        <f t="shared" si="1"/>
        <v>1</v>
      </c>
      <c r="E36" s="8"/>
      <c r="F36" s="8"/>
    </row>
    <row r="37" spans="1:6" x14ac:dyDescent="0.4">
      <c r="A37">
        <f t="shared" si="0"/>
        <v>35</v>
      </c>
      <c r="B37" t="str">
        <f>+_xll.YahooQuote("",$A37)</f>
        <v>RegularMarketDayLow</v>
      </c>
      <c r="C37" s="6">
        <f>+_xll.YahooQuote(C$1,$B37)</f>
        <v>280.12</v>
      </c>
      <c r="D37" s="6">
        <f t="shared" si="1"/>
        <v>1</v>
      </c>
    </row>
    <row r="38" spans="1:6" x14ac:dyDescent="0.4">
      <c r="A38">
        <f t="shared" si="0"/>
        <v>36</v>
      </c>
      <c r="B38" t="str">
        <f>+_xll.YahooQuote("",$A38)</f>
        <v>RegularMarketDayRange</v>
      </c>
      <c r="C38" s="6" t="str">
        <f>+_xll.YahooQuote(C$1,$B38)</f>
        <v>280.12 - 288.82</v>
      </c>
      <c r="D38" s="6">
        <f t="shared" si="1"/>
        <v>2</v>
      </c>
    </row>
    <row r="39" spans="1:6" x14ac:dyDescent="0.4">
      <c r="A39">
        <f t="shared" si="0"/>
        <v>37</v>
      </c>
      <c r="B39" t="str">
        <f>+_xll.YahooQuote("",$A39)</f>
        <v>RegularMarketVolume</v>
      </c>
      <c r="C39" s="6">
        <f>+_xll.YahooQuote(C$1,$B39)</f>
        <v>8119844</v>
      </c>
      <c r="D39" s="6">
        <f t="shared" si="1"/>
        <v>1</v>
      </c>
    </row>
    <row r="40" spans="1:6" x14ac:dyDescent="0.4">
      <c r="A40">
        <f t="shared" si="0"/>
        <v>38</v>
      </c>
      <c r="B40" t="str">
        <f>+_xll.YahooQuote("",$A40)</f>
        <v>AverageDailyVolume10Day</v>
      </c>
      <c r="C40" s="6">
        <f>+_xll.YahooQuote(C$1,$B40)</f>
        <v>5972070</v>
      </c>
      <c r="D40" s="6">
        <f t="shared" si="1"/>
        <v>1</v>
      </c>
    </row>
    <row r="41" spans="1:6" x14ac:dyDescent="0.4">
      <c r="A41">
        <f t="shared" si="0"/>
        <v>39</v>
      </c>
      <c r="B41" t="str">
        <f>+_xll.YahooQuote("",$A41)</f>
        <v>AverageDailyVolume3Month</v>
      </c>
      <c r="C41" s="6">
        <f>+_xll.YahooQuote(C$1,$B41)</f>
        <v>5013188</v>
      </c>
      <c r="D41" s="6">
        <f t="shared" si="1"/>
        <v>1</v>
      </c>
    </row>
    <row r="42" spans="1:6" x14ac:dyDescent="0.4">
      <c r="A42">
        <f t="shared" si="0"/>
        <v>40</v>
      </c>
      <c r="B42" t="str">
        <f>+_xll.YahooQuote("",$A42)</f>
        <v>RegularMarketTime</v>
      </c>
      <c r="C42" s="14">
        <f>+_xll.YahooQuote(C$1,$B42)</f>
        <v>45926.833356481482</v>
      </c>
      <c r="D42" s="6">
        <f t="shared" si="1"/>
        <v>1</v>
      </c>
    </row>
    <row r="43" spans="1:6" x14ac:dyDescent="0.4">
      <c r="A43">
        <f t="shared" si="0"/>
        <v>41</v>
      </c>
      <c r="B43" t="str">
        <f>+_xll.YahooQuote("",$A43)</f>
        <v>RegularMarketPrice</v>
      </c>
      <c r="C43" s="6">
        <f>+_xll.YahooQuote(C$1,$B43)</f>
        <v>284.31</v>
      </c>
      <c r="D43" s="6">
        <f t="shared" si="1"/>
        <v>1</v>
      </c>
    </row>
    <row r="44" spans="1:6" x14ac:dyDescent="0.4">
      <c r="A44">
        <f t="shared" si="0"/>
        <v>42</v>
      </c>
      <c r="B44" t="str">
        <f>+_xll.YahooQuote("",$A44)</f>
        <v>RegularMarketChange</v>
      </c>
      <c r="C44" s="6">
        <f>+_xll.YahooQuote(C$1,$B44)</f>
        <v>2.87</v>
      </c>
      <c r="D44" s="6">
        <f t="shared" si="1"/>
        <v>1</v>
      </c>
    </row>
    <row r="45" spans="1:6" x14ac:dyDescent="0.4">
      <c r="A45">
        <f t="shared" si="0"/>
        <v>43</v>
      </c>
      <c r="B45" t="str">
        <f>+_xll.YahooQuote("",$A45)</f>
        <v>RegularMarketChangePercent</v>
      </c>
      <c r="C45" s="6">
        <f>+_xll.YahooQuote(C$1,$B45)</f>
        <v>1.0197499999999999</v>
      </c>
      <c r="D45" s="6">
        <f t="shared" si="1"/>
        <v>1</v>
      </c>
      <c r="E45" s="8"/>
      <c r="F45" s="9"/>
    </row>
    <row r="46" spans="1:6" x14ac:dyDescent="0.4">
      <c r="A46">
        <f t="shared" si="0"/>
        <v>44</v>
      </c>
      <c r="B46" t="str">
        <f>+_xll.YahooQuote("",$A46)</f>
        <v>PreMarketTime</v>
      </c>
      <c r="C46" s="14" t="str">
        <f>+_xll.YahooQuote(C$1,$B46)</f>
        <v/>
      </c>
      <c r="D46" s="6">
        <f t="shared" si="1"/>
        <v>2</v>
      </c>
      <c r="E46" s="8"/>
      <c r="F46" s="8"/>
    </row>
    <row r="47" spans="1:6" x14ac:dyDescent="0.4">
      <c r="A47">
        <f t="shared" si="0"/>
        <v>45</v>
      </c>
      <c r="B47" t="str">
        <f>+_xll.YahooQuote("",$A47)</f>
        <v>PreMarketPrice</v>
      </c>
      <c r="C47" s="6" t="str">
        <f>+_xll.YahooQuote(C$1,$B47)</f>
        <v/>
      </c>
      <c r="D47" s="6">
        <f t="shared" si="1"/>
        <v>2</v>
      </c>
      <c r="E47" s="8"/>
      <c r="F47" s="8"/>
    </row>
    <row r="48" spans="1:6" x14ac:dyDescent="0.4">
      <c r="A48">
        <f t="shared" si="0"/>
        <v>46</v>
      </c>
      <c r="B48" t="str">
        <f>+_xll.YahooQuote("",$A48)</f>
        <v>PreMarketChange</v>
      </c>
      <c r="C48" s="6" t="str">
        <f>+_xll.YahooQuote(C$1,$B48)</f>
        <v/>
      </c>
      <c r="D48" s="6">
        <f t="shared" si="1"/>
        <v>2</v>
      </c>
    </row>
    <row r="49" spans="1:6" x14ac:dyDescent="0.4">
      <c r="A49">
        <f t="shared" si="0"/>
        <v>47</v>
      </c>
      <c r="B49" t="str">
        <f>+_xll.YahooQuote("",$A49)</f>
        <v>PreMarketChangePercent</v>
      </c>
      <c r="C49" s="6" t="str">
        <f>+_xll.YahooQuote(C$1,$B49)</f>
        <v/>
      </c>
      <c r="D49" s="6">
        <f t="shared" si="1"/>
        <v>2</v>
      </c>
      <c r="E49" s="8"/>
      <c r="F49" s="9"/>
    </row>
    <row r="50" spans="1:6" x14ac:dyDescent="0.4">
      <c r="A50">
        <f t="shared" si="0"/>
        <v>48</v>
      </c>
      <c r="B50" t="str">
        <f>+_xll.YahooQuote("",$A50)</f>
        <v>PostMarketTime</v>
      </c>
      <c r="C50" s="14">
        <f>+_xll.YahooQuote(C$1,$B50)</f>
        <v>45926.999976851854</v>
      </c>
      <c r="D50" s="6">
        <f t="shared" si="1"/>
        <v>1</v>
      </c>
    </row>
    <row r="51" spans="1:6" x14ac:dyDescent="0.4">
      <c r="A51">
        <f t="shared" si="0"/>
        <v>49</v>
      </c>
      <c r="B51" t="str">
        <f>+_xll.YahooQuote("",$A51)</f>
        <v>PostMarketPrice</v>
      </c>
      <c r="C51" s="6">
        <f>+_xll.YahooQuote(C$1,$B51)</f>
        <v>284.68</v>
      </c>
      <c r="D51" s="6">
        <f t="shared" si="1"/>
        <v>1</v>
      </c>
      <c r="E51" s="8"/>
      <c r="F51" s="8"/>
    </row>
    <row r="52" spans="1:6" x14ac:dyDescent="0.4">
      <c r="A52">
        <f t="shared" si="0"/>
        <v>50</v>
      </c>
      <c r="B52" t="str">
        <f>+_xll.YahooQuote("",$A52)</f>
        <v>PostMarketChange</v>
      </c>
      <c r="C52" s="6">
        <f>+_xll.YahooQuote(C$1,$B52)</f>
        <v>0.36999512000000001</v>
      </c>
      <c r="D52" s="6">
        <f t="shared" si="1"/>
        <v>1</v>
      </c>
      <c r="E52" s="8"/>
      <c r="F52" s="8"/>
    </row>
    <row r="53" spans="1:6" x14ac:dyDescent="0.4">
      <c r="A53">
        <f t="shared" si="0"/>
        <v>51</v>
      </c>
      <c r="B53" t="str">
        <f>+_xll.YahooQuote("",$A53)</f>
        <v>PostMarketChangePercent</v>
      </c>
      <c r="C53" s="6">
        <f>+_xll.YahooQuote(C$1,$B53)</f>
        <v>0.13013791999999999</v>
      </c>
      <c r="D53" s="6">
        <f t="shared" si="1"/>
        <v>1</v>
      </c>
    </row>
    <row r="54" spans="1:6" x14ac:dyDescent="0.4">
      <c r="A54">
        <f t="shared" si="0"/>
        <v>52</v>
      </c>
      <c r="B54" t="str">
        <f>+_xll.YahooQuote("",$A54)</f>
        <v>HasPrePostMarketData</v>
      </c>
      <c r="C54" s="6" t="b">
        <f>+_xll.YahooQuote(C$1,$B54)</f>
        <v>1</v>
      </c>
      <c r="D54" s="6">
        <f t="shared" si="1"/>
        <v>4</v>
      </c>
    </row>
    <row r="55" spans="1:6" x14ac:dyDescent="0.4">
      <c r="A55">
        <f t="shared" si="0"/>
        <v>53</v>
      </c>
      <c r="B55" t="str">
        <f>+_xll.YahooQuote("",$A55)</f>
        <v>Exchange</v>
      </c>
      <c r="C55" s="6" t="str">
        <f>+_xll.YahooQuote(C$1,$B55)</f>
        <v>NYQ</v>
      </c>
      <c r="D55" s="6">
        <f t="shared" si="1"/>
        <v>2</v>
      </c>
    </row>
    <row r="56" spans="1:6" x14ac:dyDescent="0.4">
      <c r="A56">
        <f t="shared" si="0"/>
        <v>54</v>
      </c>
      <c r="B56" t="str">
        <f>+_xll.YahooQuote("",$A56)</f>
        <v>FullExchangeName</v>
      </c>
      <c r="C56" s="6" t="str">
        <f>+_xll.YahooQuote(C$1,$B56)</f>
        <v>NYSE</v>
      </c>
      <c r="D56" s="6">
        <f t="shared" si="1"/>
        <v>2</v>
      </c>
    </row>
    <row r="57" spans="1:6" x14ac:dyDescent="0.4">
      <c r="A57">
        <f t="shared" si="0"/>
        <v>55</v>
      </c>
      <c r="B57" t="str">
        <f>+_xll.YahooQuote("",$A57)</f>
        <v>ExchangeDataDelayedBy</v>
      </c>
      <c r="C57" s="6">
        <f>+_xll.YahooQuote(C$1,$B57)</f>
        <v>0</v>
      </c>
      <c r="D57" s="6">
        <f t="shared" si="1"/>
        <v>1</v>
      </c>
    </row>
    <row r="58" spans="1:6" x14ac:dyDescent="0.4">
      <c r="A58">
        <f t="shared" si="0"/>
        <v>56</v>
      </c>
      <c r="B58" t="str">
        <f>+_xll.YahooQuote("",$A58)</f>
        <v>GmtOffSetMilliseconds</v>
      </c>
      <c r="C58" s="6">
        <f>+_xll.YahooQuote(C$1,$B58)</f>
        <v>-14400000</v>
      </c>
      <c r="D58" s="6">
        <f t="shared" si="1"/>
        <v>1</v>
      </c>
    </row>
    <row r="59" spans="1:6" x14ac:dyDescent="0.4">
      <c r="A59">
        <f t="shared" si="0"/>
        <v>57</v>
      </c>
      <c r="B59" t="str">
        <f>+_xll.YahooQuote("",$A59)</f>
        <v>ExchangeTimezoneName</v>
      </c>
      <c r="C59" s="6" t="str">
        <f>+_xll.YahooQuote(C$1,$B59)</f>
        <v>America/New_York</v>
      </c>
      <c r="D59" s="6">
        <f t="shared" si="1"/>
        <v>2</v>
      </c>
      <c r="E59" s="8"/>
      <c r="F59" s="9"/>
    </row>
    <row r="60" spans="1:6" x14ac:dyDescent="0.4">
      <c r="A60">
        <f t="shared" si="0"/>
        <v>58</v>
      </c>
      <c r="B60" t="str">
        <f>+_xll.YahooQuote("",$A60)</f>
        <v>ExchangeTimezoneShortName</v>
      </c>
      <c r="C60" s="6" t="str">
        <f>+_xll.YahooQuote(C$1,$B60)</f>
        <v>EDT</v>
      </c>
      <c r="D60" s="6">
        <f t="shared" si="1"/>
        <v>2</v>
      </c>
      <c r="E60" s="8"/>
      <c r="F60" s="9"/>
    </row>
    <row r="61" spans="1:6" x14ac:dyDescent="0.4">
      <c r="A61">
        <f t="shared" si="0"/>
        <v>59</v>
      </c>
      <c r="B61" t="str">
        <f>+_xll.YahooQuote("",$A61)</f>
        <v>DividendDate</v>
      </c>
      <c r="C61" s="6">
        <f>+_xll.YahooQuote(C$1,$B61)</f>
        <v>45910</v>
      </c>
      <c r="D61" s="6">
        <f t="shared" si="1"/>
        <v>1</v>
      </c>
      <c r="E61" s="8"/>
      <c r="F61" s="8"/>
    </row>
    <row r="62" spans="1:6" x14ac:dyDescent="0.4">
      <c r="A62">
        <f t="shared" si="0"/>
        <v>60</v>
      </c>
      <c r="B62" t="str">
        <f>+_xll.YahooQuote("",$A62)</f>
        <v>DividendRate</v>
      </c>
      <c r="C62" s="6">
        <f>+_xll.YahooQuote(C$1,$B62)</f>
        <v>6.72</v>
      </c>
      <c r="D62" s="6">
        <f t="shared" si="1"/>
        <v>1</v>
      </c>
      <c r="E62" s="8"/>
      <c r="F62" s="8"/>
    </row>
    <row r="63" spans="1:6" x14ac:dyDescent="0.4">
      <c r="A63">
        <f t="shared" si="0"/>
        <v>61</v>
      </c>
      <c r="B63" t="str">
        <f>+_xll.YahooQuote("",$A63)</f>
        <v>TrailingAnnualDividendRate</v>
      </c>
      <c r="C63" s="6">
        <f>+_xll.YahooQuote(C$1,$B63)</f>
        <v>6.69</v>
      </c>
      <c r="D63" s="6">
        <f t="shared" si="1"/>
        <v>1</v>
      </c>
    </row>
    <row r="64" spans="1:6" x14ac:dyDescent="0.4">
      <c r="A64">
        <f t="shared" si="0"/>
        <v>62</v>
      </c>
      <c r="B64" t="str">
        <f>+_xll.YahooQuote("",$A64)</f>
        <v>DividendYield</v>
      </c>
      <c r="C64" s="6">
        <f>+_xll.YahooQuote(C$1,$B64)</f>
        <v>2.36</v>
      </c>
      <c r="D64" s="6">
        <f t="shared" si="1"/>
        <v>1</v>
      </c>
    </row>
    <row r="65" spans="1:6" x14ac:dyDescent="0.4">
      <c r="A65">
        <f t="shared" si="0"/>
        <v>63</v>
      </c>
      <c r="B65" t="str">
        <f>+_xll.YahooQuote("",$A65)</f>
        <v>TrailingAnnualDividendYield</v>
      </c>
      <c r="C65" s="6">
        <f>+_xll.YahooQuote(C$1,$B65)</f>
        <v>2.3770607999999999E-2</v>
      </c>
      <c r="D65" s="6">
        <f t="shared" si="1"/>
        <v>1</v>
      </c>
    </row>
    <row r="66" spans="1:6" x14ac:dyDescent="0.4">
      <c r="A66">
        <f t="shared" si="0"/>
        <v>64</v>
      </c>
      <c r="B66" t="str">
        <f>+_xll.YahooQuote("",$A66)</f>
        <v>PriceEpsCurrentYear</v>
      </c>
      <c r="C66" s="6">
        <f>+_xll.YahooQuote(C$1,$B66)</f>
        <v>25.495018000000002</v>
      </c>
      <c r="D66" s="6">
        <f t="shared" si="1"/>
        <v>1</v>
      </c>
    </row>
    <row r="67" spans="1:6" x14ac:dyDescent="0.4">
      <c r="A67">
        <f t="shared" si="0"/>
        <v>65</v>
      </c>
      <c r="B67" t="str">
        <f>+_xll.YahooQuote("",$A67)</f>
        <v>EpsCurrentYear</v>
      </c>
      <c r="C67" s="6">
        <f>+_xll.YahooQuote(C$1,$B67)</f>
        <v>11.151590000000001</v>
      </c>
      <c r="D67" s="6">
        <f t="shared" si="1"/>
        <v>1</v>
      </c>
    </row>
    <row r="68" spans="1:6" x14ac:dyDescent="0.4">
      <c r="A68">
        <f t="shared" si="0"/>
        <v>66</v>
      </c>
      <c r="B68" t="str">
        <f>+_xll.YahooQuote("",$A68)</f>
        <v>EpsForward</v>
      </c>
      <c r="C68" s="6">
        <f>+_xll.YahooQuote(C$1,$B68)</f>
        <v>10.61</v>
      </c>
      <c r="D68" s="6">
        <f t="shared" ref="D68:D101" si="2">TYPE(C68)</f>
        <v>1</v>
      </c>
    </row>
    <row r="69" spans="1:6" x14ac:dyDescent="0.4">
      <c r="A69">
        <f t="shared" ref="A69:A105" si="3">+A68+1</f>
        <v>67</v>
      </c>
      <c r="B69" t="str">
        <f>+_xll.YahooQuote("",$A69)</f>
        <v>EpsTrailingTwelveMonths</v>
      </c>
      <c r="C69" s="6">
        <f>+_xll.YahooQuote(C$1,$B69)</f>
        <v>6.2</v>
      </c>
      <c r="D69" s="6">
        <f t="shared" si="2"/>
        <v>1</v>
      </c>
      <c r="E69" s="8"/>
      <c r="F69" s="9"/>
    </row>
    <row r="70" spans="1:6" x14ac:dyDescent="0.4">
      <c r="A70">
        <f t="shared" si="3"/>
        <v>68</v>
      </c>
      <c r="B70" t="str">
        <f>+_xll.YahooQuote("",$A70)</f>
        <v>EarningsTimestamp</v>
      </c>
      <c r="C70" s="14">
        <f>+_xll.YahooQuote(C$1,$B70)</f>
        <v>45952.833333333336</v>
      </c>
      <c r="D70" s="6">
        <f t="shared" si="2"/>
        <v>1</v>
      </c>
      <c r="E70" s="8"/>
      <c r="F70" s="9"/>
    </row>
    <row r="71" spans="1:6" x14ac:dyDescent="0.4">
      <c r="A71">
        <f t="shared" si="3"/>
        <v>69</v>
      </c>
      <c r="B71" t="str">
        <f>+_xll.YahooQuote("",$A71)</f>
        <v>EarningsTimestampStart</v>
      </c>
      <c r="C71" s="14">
        <f>+_xll.YahooQuote(C$1,$B71)</f>
        <v>45952.833333333336</v>
      </c>
      <c r="D71" s="6">
        <f t="shared" si="2"/>
        <v>1</v>
      </c>
      <c r="E71" s="8"/>
      <c r="F71" s="9"/>
    </row>
    <row r="72" spans="1:6" x14ac:dyDescent="0.4">
      <c r="A72">
        <f t="shared" si="3"/>
        <v>70</v>
      </c>
      <c r="B72" t="str">
        <f>+_xll.YahooQuote("",$A72)</f>
        <v>EarningsTimestampEnd</v>
      </c>
      <c r="C72" s="14">
        <f>+_xll.YahooQuote(C$1,$B72)</f>
        <v>45952.833333333336</v>
      </c>
      <c r="D72" s="6">
        <f t="shared" si="2"/>
        <v>1</v>
      </c>
    </row>
    <row r="73" spans="1:6" x14ac:dyDescent="0.4">
      <c r="A73">
        <f t="shared" si="3"/>
        <v>71</v>
      </c>
      <c r="B73" t="str">
        <f>+_xll.YahooQuote("",$A73)</f>
        <v>EarningsCallTimestampStart</v>
      </c>
      <c r="C73" s="14">
        <f>+_xll.YahooQuote(C$1,$B73)</f>
        <v>45952.875</v>
      </c>
      <c r="D73" s="6">
        <f t="shared" si="2"/>
        <v>1</v>
      </c>
      <c r="E73" s="8"/>
      <c r="F73" s="9"/>
    </row>
    <row r="74" spans="1:6" x14ac:dyDescent="0.4">
      <c r="A74">
        <f t="shared" si="3"/>
        <v>72</v>
      </c>
      <c r="B74" t="str">
        <f>+_xll.YahooQuote("",$A74)</f>
        <v>EarningsCallTimestampEnd</v>
      </c>
      <c r="C74" s="14">
        <f>+_xll.YahooQuote(C$1,$B74)</f>
        <v>45952.875</v>
      </c>
      <c r="D74" s="6">
        <f t="shared" si="2"/>
        <v>1</v>
      </c>
    </row>
    <row r="75" spans="1:6" x14ac:dyDescent="0.4">
      <c r="A75">
        <f t="shared" si="3"/>
        <v>73</v>
      </c>
      <c r="B75" t="str">
        <f>+_xll.YahooQuote("",$A75)</f>
        <v>IsEarningsDateEstimate</v>
      </c>
      <c r="C75" s="6" t="b">
        <f>+_xll.YahooQuote(C$1,$B75)</f>
        <v>0</v>
      </c>
      <c r="D75" s="6">
        <f t="shared" si="2"/>
        <v>4</v>
      </c>
      <c r="E75" s="8"/>
      <c r="F75" s="8"/>
    </row>
    <row r="76" spans="1:6" x14ac:dyDescent="0.4">
      <c r="A76">
        <f t="shared" si="3"/>
        <v>74</v>
      </c>
      <c r="B76" t="str">
        <f>+_xll.YahooQuote("",$A76)</f>
        <v>ExpireIsoDate</v>
      </c>
      <c r="C76" s="6" t="str">
        <f>+_xll.YahooQuote(C$1,$B76)</f>
        <v/>
      </c>
      <c r="D76" s="6">
        <f t="shared" si="2"/>
        <v>2</v>
      </c>
      <c r="E76" s="8"/>
      <c r="F76" s="8"/>
    </row>
    <row r="77" spans="1:6" x14ac:dyDescent="0.4">
      <c r="A77">
        <f t="shared" si="3"/>
        <v>75</v>
      </c>
      <c r="B77" t="str">
        <f>+_xll.YahooQuote("",$A77)</f>
        <v>ExpireDate</v>
      </c>
      <c r="C77" s="14" t="str">
        <f>+_xll.YahooQuote(C$1,$B77)</f>
        <v/>
      </c>
      <c r="D77" s="6">
        <f t="shared" si="2"/>
        <v>2</v>
      </c>
      <c r="E77" s="8"/>
      <c r="F77" s="8"/>
    </row>
    <row r="78" spans="1:6" x14ac:dyDescent="0.4">
      <c r="A78">
        <f t="shared" si="3"/>
        <v>76</v>
      </c>
      <c r="B78" t="str">
        <f>+_xll.YahooQuote("",$A78)</f>
        <v>BookValue</v>
      </c>
      <c r="C78" s="6">
        <f>+_xll.YahooQuote(C$1,$B78)</f>
        <v>29.530999999999999</v>
      </c>
      <c r="D78" s="6">
        <f t="shared" si="2"/>
        <v>1</v>
      </c>
      <c r="E78" s="8"/>
      <c r="F78" s="8"/>
    </row>
    <row r="79" spans="1:6" x14ac:dyDescent="0.4">
      <c r="A79">
        <f t="shared" si="3"/>
        <v>77</v>
      </c>
      <c r="B79" t="str">
        <f>+_xll.YahooQuote("",$A79)</f>
        <v>NetAssets</v>
      </c>
      <c r="C79" s="6" t="str">
        <f>+_xll.YahooQuote(C$1,$B79)</f>
        <v/>
      </c>
      <c r="D79" s="6">
        <f t="shared" si="2"/>
        <v>2</v>
      </c>
      <c r="E79" s="8"/>
      <c r="F79" s="8"/>
    </row>
    <row r="80" spans="1:6" x14ac:dyDescent="0.4">
      <c r="A80">
        <f t="shared" si="3"/>
        <v>78</v>
      </c>
      <c r="B80" t="str">
        <f>+_xll.YahooQuote("",$A80)</f>
        <v>TrailingPE</v>
      </c>
      <c r="C80" s="6">
        <f>+_xll.YahooQuote(C$1,$B80)</f>
        <v>45.856453000000002</v>
      </c>
      <c r="D80" s="6">
        <f t="shared" si="2"/>
        <v>1</v>
      </c>
      <c r="E80" s="8"/>
      <c r="F80" s="8"/>
    </row>
    <row r="81" spans="1:4" x14ac:dyDescent="0.4">
      <c r="A81">
        <f t="shared" si="3"/>
        <v>79</v>
      </c>
      <c r="B81" t="str">
        <f>+_xll.YahooQuote("",$A81)</f>
        <v>ForwardPE</v>
      </c>
      <c r="C81" s="6">
        <f>+_xll.YahooQuote(C$1,$B81)</f>
        <v>26.796420000000001</v>
      </c>
      <c r="D81" s="6">
        <f t="shared" si="2"/>
        <v>1</v>
      </c>
    </row>
    <row r="82" spans="1:4" x14ac:dyDescent="0.4">
      <c r="A82">
        <f t="shared" si="3"/>
        <v>80</v>
      </c>
      <c r="B82" t="str">
        <f>+_xll.YahooQuote("",$A82)</f>
        <v>PriceToBook</v>
      </c>
      <c r="C82" s="6">
        <f>+_xll.YahooQuote(C$1,$B82)</f>
        <v>9.6275099999999991</v>
      </c>
      <c r="D82" s="6">
        <f t="shared" si="2"/>
        <v>1</v>
      </c>
    </row>
    <row r="83" spans="1:4" x14ac:dyDescent="0.4">
      <c r="A83">
        <f t="shared" si="3"/>
        <v>81</v>
      </c>
      <c r="B83" t="str">
        <f>+_xll.YahooQuote("",$A83)</f>
        <v>NetExpenseRatio</v>
      </c>
      <c r="C83" s="6" t="str">
        <f>+_xll.YahooQuote(C$1,$B83)</f>
        <v/>
      </c>
      <c r="D83" s="6">
        <f t="shared" si="2"/>
        <v>2</v>
      </c>
    </row>
    <row r="84" spans="1:4" x14ac:dyDescent="0.4">
      <c r="A84">
        <f t="shared" si="3"/>
        <v>82</v>
      </c>
      <c r="B84" t="str">
        <f>+_xll.YahooQuote("",$A84)</f>
        <v>TrailingThreeMonthNavReturns</v>
      </c>
      <c r="C84" s="6" t="str">
        <f>+_xll.YahooQuote(C$1,$B84)</f>
        <v/>
      </c>
      <c r="D84" s="6">
        <f t="shared" si="2"/>
        <v>2</v>
      </c>
    </row>
    <row r="85" spans="1:4" x14ac:dyDescent="0.4">
      <c r="A85">
        <f t="shared" si="3"/>
        <v>83</v>
      </c>
      <c r="B85" t="str">
        <f>+_xll.YahooQuote("",$A85)</f>
        <v>TrailingThreeMonthReturns</v>
      </c>
      <c r="C85" s="6" t="str">
        <f>+_xll.YahooQuote(C$1,$B85)</f>
        <v/>
      </c>
      <c r="D85" s="6">
        <f t="shared" si="2"/>
        <v>2</v>
      </c>
    </row>
    <row r="86" spans="1:4" x14ac:dyDescent="0.4">
      <c r="A86">
        <f t="shared" si="3"/>
        <v>84</v>
      </c>
      <c r="B86" t="str">
        <f>+_xll.YahooQuote("",$A86)</f>
        <v>YtdReturn</v>
      </c>
      <c r="C86" s="6" t="str">
        <f>+_xll.YahooQuote(C$1,$B86)</f>
        <v/>
      </c>
      <c r="D86" s="6">
        <f t="shared" si="2"/>
        <v>2</v>
      </c>
    </row>
    <row r="87" spans="1:4" x14ac:dyDescent="0.4">
      <c r="A87">
        <f t="shared" si="3"/>
        <v>85</v>
      </c>
      <c r="B87" t="str">
        <f>+_xll.YahooQuote("",$A87)</f>
        <v>FiftyDayAverage</v>
      </c>
      <c r="C87" s="6">
        <f>+_xll.YahooQuote(C$1,$B87)</f>
        <v>254.90100000000001</v>
      </c>
      <c r="D87" s="6">
        <f t="shared" si="2"/>
        <v>1</v>
      </c>
    </row>
    <row r="88" spans="1:4" x14ac:dyDescent="0.4">
      <c r="A88">
        <f t="shared" si="3"/>
        <v>86</v>
      </c>
      <c r="B88" t="str">
        <f>+_xll.YahooQuote("",$A88)</f>
        <v>FiftyDayAverageChange</v>
      </c>
      <c r="C88" s="6">
        <f>+_xll.YahooQuote(C$1,$B88)</f>
        <v>29.408996999999999</v>
      </c>
      <c r="D88" s="6">
        <f t="shared" si="2"/>
        <v>1</v>
      </c>
    </row>
    <row r="89" spans="1:4" x14ac:dyDescent="0.4">
      <c r="A89">
        <f t="shared" si="3"/>
        <v>87</v>
      </c>
      <c r="B89" t="str">
        <f>+_xll.YahooQuote("",$A89)</f>
        <v>FiftyDayAverageChangePercent</v>
      </c>
      <c r="C89" s="6">
        <f>+_xll.YahooQuote(C$1,$B89)</f>
        <v>0.11537419</v>
      </c>
      <c r="D89" s="6">
        <f t="shared" si="2"/>
        <v>1</v>
      </c>
    </row>
    <row r="90" spans="1:4" x14ac:dyDescent="0.4">
      <c r="A90">
        <f t="shared" si="3"/>
        <v>88</v>
      </c>
      <c r="B90" t="str">
        <f>+_xll.YahooQuote("",$A90)</f>
        <v>TwoHundredDayAverage</v>
      </c>
      <c r="C90" s="6">
        <f>+_xll.YahooQuote(C$1,$B90)</f>
        <v>252.27444</v>
      </c>
      <c r="D90" s="6">
        <f t="shared" si="2"/>
        <v>1</v>
      </c>
    </row>
    <row r="91" spans="1:4" x14ac:dyDescent="0.4">
      <c r="A91">
        <f t="shared" si="3"/>
        <v>89</v>
      </c>
      <c r="B91" t="str">
        <f>+_xll.YahooQuote("",$A91)</f>
        <v>TwoHundredDayAverageChange</v>
      </c>
      <c r="C91" s="6">
        <f>+_xll.YahooQuote(C$1,$B91)</f>
        <v>32.035553</v>
      </c>
      <c r="D91" s="6">
        <f t="shared" si="2"/>
        <v>1</v>
      </c>
    </row>
    <row r="92" spans="1:4" x14ac:dyDescent="0.4">
      <c r="A92">
        <f t="shared" si="3"/>
        <v>90</v>
      </c>
      <c r="B92" t="str">
        <f>+_xll.YahooQuote("",$A92)</f>
        <v>TwoHundredDayAverageChangePercent</v>
      </c>
      <c r="C92" s="6">
        <f>+_xll.YahooQuote(C$1,$B92)</f>
        <v>0.12698690000000001</v>
      </c>
      <c r="D92" s="6">
        <f t="shared" si="2"/>
        <v>1</v>
      </c>
    </row>
    <row r="93" spans="1:4" x14ac:dyDescent="0.4">
      <c r="A93">
        <f t="shared" si="3"/>
        <v>91</v>
      </c>
      <c r="B93" t="str">
        <f>+_xll.YahooQuote("",$A93)</f>
        <v>FiftyTwoWeekChangePercent</v>
      </c>
      <c r="C93" s="6">
        <f>+_xll.YahooQuote(C$1,$B93)</f>
        <v>28.600501999999999</v>
      </c>
      <c r="D93" s="6">
        <f t="shared" si="2"/>
        <v>1</v>
      </c>
    </row>
    <row r="94" spans="1:4" x14ac:dyDescent="0.4">
      <c r="A94">
        <f t="shared" si="3"/>
        <v>92</v>
      </c>
      <c r="B94" t="str">
        <f>+_xll.YahooQuote("",$A94)</f>
        <v>FiftyTwoWeekHigh</v>
      </c>
      <c r="C94" s="6">
        <f>+_xll.YahooQuote(C$1,$B94)</f>
        <v>296.16000000000003</v>
      </c>
      <c r="D94" s="6">
        <f t="shared" si="2"/>
        <v>1</v>
      </c>
    </row>
    <row r="95" spans="1:4" x14ac:dyDescent="0.4">
      <c r="A95">
        <f t="shared" si="3"/>
        <v>93</v>
      </c>
      <c r="B95" t="str">
        <f>+_xll.YahooQuote("",$A95)</f>
        <v>FiftyTwoWeekHighChange</v>
      </c>
      <c r="C95" s="6">
        <f>+_xll.YahooQuote(C$1,$B95)</f>
        <v>-11.850006</v>
      </c>
      <c r="D95" s="6">
        <f t="shared" si="2"/>
        <v>1</v>
      </c>
    </row>
    <row r="96" spans="1:4" x14ac:dyDescent="0.4">
      <c r="A96">
        <f t="shared" si="3"/>
        <v>94</v>
      </c>
      <c r="B96" t="str">
        <f>+_xll.YahooQuote("",$A96)</f>
        <v>FiftyTwoWeekHighChangePercent</v>
      </c>
      <c r="C96" s="6">
        <f>+_xll.YahooQuote(C$1,$B96)</f>
        <v>-4.0012177000000003E-2</v>
      </c>
      <c r="D96" s="6">
        <f t="shared" si="2"/>
        <v>1</v>
      </c>
    </row>
    <row r="97" spans="1:4" x14ac:dyDescent="0.4">
      <c r="A97">
        <f t="shared" si="3"/>
        <v>95</v>
      </c>
      <c r="B97" t="str">
        <f>+_xll.YahooQuote("",$A97)</f>
        <v>FiftyTwoWeekLow</v>
      </c>
      <c r="C97" s="6">
        <f>+_xll.YahooQuote(C$1,$B97)</f>
        <v>203.51</v>
      </c>
      <c r="D97" s="6">
        <f t="shared" si="2"/>
        <v>1</v>
      </c>
    </row>
    <row r="98" spans="1:4" x14ac:dyDescent="0.4">
      <c r="A98">
        <f t="shared" si="3"/>
        <v>96</v>
      </c>
      <c r="B98" t="str">
        <f>+_xll.YahooQuote("",$A98)</f>
        <v>FiftyTwoWeekLowChange</v>
      </c>
      <c r="C98" s="6">
        <f>+_xll.YahooQuote(C$1,$B98)</f>
        <v>80.8</v>
      </c>
      <c r="D98" s="6">
        <f t="shared" si="2"/>
        <v>1</v>
      </c>
    </row>
    <row r="99" spans="1:4" x14ac:dyDescent="0.4">
      <c r="A99">
        <f t="shared" si="3"/>
        <v>97</v>
      </c>
      <c r="B99" t="str">
        <f>+_xll.YahooQuote("",$A99)</f>
        <v>FiftyTwoWeekLowChangePercent</v>
      </c>
      <c r="C99" s="6">
        <f>+_xll.YahooQuote(C$1,$B99)</f>
        <v>0.3970321</v>
      </c>
      <c r="D99" s="6">
        <f t="shared" si="2"/>
        <v>1</v>
      </c>
    </row>
    <row r="100" spans="1:4" x14ac:dyDescent="0.4">
      <c r="A100">
        <f t="shared" si="3"/>
        <v>98</v>
      </c>
      <c r="B100" t="str">
        <f>+_xll.YahooQuote("",$A100)</f>
        <v>FiftyTwoWeekRange</v>
      </c>
      <c r="C100" s="6" t="str">
        <f>+_xll.YahooQuote(C$1,$B100)</f>
        <v>203.51 - 296.16</v>
      </c>
      <c r="D100" s="6">
        <f t="shared" si="2"/>
        <v>2</v>
      </c>
    </row>
    <row r="101" spans="1:4" x14ac:dyDescent="0.4">
      <c r="A101">
        <f t="shared" si="3"/>
        <v>99</v>
      </c>
      <c r="B101" t="str">
        <f>+_xll.YahooQuote("",$A101)</f>
        <v>AverageAnalystRating</v>
      </c>
      <c r="C101" s="6" t="str">
        <f>+_xll.YahooQuote(C$1,$B101)</f>
        <v>2.5 - Hold</v>
      </c>
      <c r="D101" s="6">
        <f t="shared" si="2"/>
        <v>2</v>
      </c>
    </row>
    <row r="102" spans="1:4" x14ac:dyDescent="0.4">
      <c r="A102">
        <f t="shared" si="3"/>
        <v>100</v>
      </c>
      <c r="B102" t="str">
        <f>+_xll.YahooQuote("",$A102)</f>
        <v>CustomPriceAlertConfidence</v>
      </c>
      <c r="C102" s="6" t="str">
        <f>+_xll.YahooQuote(C$1,$B102)</f>
        <v>HIGH</v>
      </c>
      <c r="D102" s="6">
        <f t="shared" ref="D102" si="4">TYPE(C102)</f>
        <v>2</v>
      </c>
    </row>
    <row r="103" spans="1:4" x14ac:dyDescent="0.4">
      <c r="A103">
        <f t="shared" si="3"/>
        <v>101</v>
      </c>
      <c r="B103" t="str">
        <f>+_xll.YahooQuote("",$A103)</f>
        <v>#Property name index: 0..100.</v>
      </c>
      <c r="C103" s="6" t="str">
        <f>+_xll.YahooQuote(C$1,$B103)</f>
        <v>#Property name index: 0..100.</v>
      </c>
      <c r="D103" s="6">
        <f t="shared" ref="D103" si="5">TYPE(C103)</f>
        <v>2</v>
      </c>
    </row>
    <row r="104" spans="1:4" x14ac:dyDescent="0.4">
      <c r="A104">
        <f t="shared" si="3"/>
        <v>102</v>
      </c>
      <c r="B104" t="str">
        <f>+_xll.YahooQuote("",$A104)</f>
        <v>#Property name index: 0..100.</v>
      </c>
      <c r="C104" s="6" t="str">
        <f>+_xll.YahooQuote(C$1,$B104)</f>
        <v>#Property name index: 0..100.</v>
      </c>
      <c r="D104" s="6">
        <f t="shared" ref="D104" si="6">TYPE(C104)</f>
        <v>2</v>
      </c>
    </row>
    <row r="105" spans="1:4" x14ac:dyDescent="0.4">
      <c r="A105">
        <f t="shared" si="3"/>
        <v>103</v>
      </c>
      <c r="B105" t="str">
        <f>+_xll.YahooQuote("",$A105)</f>
        <v>#Property name index: 0..100.</v>
      </c>
      <c r="C105" s="6" t="str">
        <f>+_xll.YahooQuote(C$1,$B105)</f>
        <v>#Property name index: 0..100.</v>
      </c>
      <c r="D105" s="6">
        <f t="shared" ref="D105" si="7">TYPE(C105)</f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A5A9-4647-4C7E-A8C9-53414205A4D9}">
  <dimension ref="A2:K11"/>
  <sheetViews>
    <sheetView workbookViewId="0"/>
  </sheetViews>
  <sheetFormatPr defaultRowHeight="14.6" x14ac:dyDescent="0.4"/>
  <cols>
    <col min="1" max="1" width="10.84375" customWidth="1"/>
    <col min="2" max="2" width="36.3828125" customWidth="1"/>
    <col min="5" max="5" width="10.61328125" customWidth="1"/>
    <col min="6" max="6" width="17.84375" style="11" customWidth="1"/>
    <col min="7" max="7" width="11" style="13" customWidth="1"/>
    <col min="8" max="8" width="11.4609375" style="13" customWidth="1"/>
    <col min="9" max="9" width="19.3828125" customWidth="1"/>
    <col min="10" max="10" width="23" customWidth="1"/>
    <col min="11" max="11" width="26.53515625" customWidth="1"/>
  </cols>
  <sheetData>
    <row r="2" spans="1:11" x14ac:dyDescent="0.4">
      <c r="A2" s="1" t="s">
        <v>0</v>
      </c>
      <c r="B2" s="1" t="s">
        <v>11</v>
      </c>
      <c r="C2" s="3" t="s">
        <v>2</v>
      </c>
      <c r="D2" s="3" t="s">
        <v>3</v>
      </c>
      <c r="E2" s="1" t="s">
        <v>5</v>
      </c>
      <c r="F2" s="10" t="s">
        <v>6</v>
      </c>
      <c r="G2" s="12" t="s">
        <v>8</v>
      </c>
      <c r="H2" s="12" t="s">
        <v>9</v>
      </c>
      <c r="I2" s="2" t="s">
        <v>4</v>
      </c>
      <c r="J2" s="2" t="s">
        <v>7</v>
      </c>
      <c r="K2" s="2" t="s">
        <v>10</v>
      </c>
    </row>
    <row r="3" spans="1:11" x14ac:dyDescent="0.4">
      <c r="A3" t="s">
        <v>13</v>
      </c>
      <c r="B3" t="str">
        <f>_xll.YahooQuote($A3,B$2)</f>
        <v>Tesla, Inc.</v>
      </c>
      <c r="C3" t="str">
        <f>_xll.YahooQuote($A3,C$2)</f>
        <v>NMS</v>
      </c>
      <c r="D3" t="str">
        <f>_xll.YahooQuote($A3,D$2)</f>
        <v>USD=X</v>
      </c>
      <c r="E3" t="str">
        <f>_xll.YahooQuote($A3,E$2)</f>
        <v>EQUITY</v>
      </c>
      <c r="F3" s="11">
        <f>_xll.YahooQuote($A3,F$2)</f>
        <v>440.4</v>
      </c>
      <c r="G3" s="13">
        <f>_xll.YahooQuote($A3,G$2)</f>
        <v>415.63</v>
      </c>
      <c r="H3" s="13">
        <f>_xll.YahooQuote($A3,H$2)</f>
        <v>458.7</v>
      </c>
      <c r="I3" s="4">
        <f>_xll.YahooQuote($A3,I$2)</f>
        <v>1464396414976</v>
      </c>
      <c r="J3" s="4">
        <f>_xll.YahooQuote($A3,J$2)*F3</f>
        <v>44099634564</v>
      </c>
      <c r="K3" s="5">
        <f>_xll.YahooQuote($A3,K$2)</f>
        <v>0</v>
      </c>
    </row>
    <row r="4" spans="1:11" x14ac:dyDescent="0.4">
      <c r="A4" t="s">
        <v>12</v>
      </c>
      <c r="B4" t="str">
        <f>_xll.YahooQuote($A4,B$2)</f>
        <v>SPDR S&amp;P 500 ETF</v>
      </c>
      <c r="C4" t="str">
        <f>_xll.YahooQuote($A4,C$2)</f>
        <v>PCX</v>
      </c>
      <c r="D4" t="str">
        <f>_xll.YahooQuote($A4,D$2)</f>
        <v>USD=X</v>
      </c>
      <c r="E4" t="str">
        <f>_xll.YahooQuote($A4,E$2)</f>
        <v>ETF</v>
      </c>
      <c r="F4" s="11">
        <f>_xll.YahooQuote($A4,F$2)</f>
        <v>661.82</v>
      </c>
      <c r="G4" s="13">
        <f>_xll.YahooQuote($A4,G$2)</f>
        <v>662.05</v>
      </c>
      <c r="H4" s="13">
        <f>_xll.YahooQuote($A4,H$2)</f>
        <v>662.19</v>
      </c>
      <c r="I4" s="4">
        <f>_xll.YahooQuote($A4,I$2)</f>
        <v>607406522368</v>
      </c>
      <c r="J4" s="4">
        <f>_xll.YahooQuote($A4,J$2)*F4</f>
        <v>40009783422.139999</v>
      </c>
      <c r="K4" s="5">
        <f>_xll.YahooQuote($A4,K$2)</f>
        <v>8.6042099999999993E-3</v>
      </c>
    </row>
    <row r="5" spans="1:11" x14ac:dyDescent="0.4">
      <c r="A5" t="s">
        <v>1</v>
      </c>
      <c r="B5" t="str">
        <f>_xll.YahooQuote($A5,B$2)</f>
        <v>iShares S&amp;P/TSX 60 Index ETF</v>
      </c>
      <c r="C5" t="str">
        <f>_xll.YahooQuote($A5,C$2)</f>
        <v>TOR</v>
      </c>
      <c r="D5" t="str">
        <f>_xll.YahooQuote($A5,D$2)</f>
        <v>CAD=X</v>
      </c>
      <c r="E5" t="str">
        <f>_xll.YahooQuote($A5,E$2)</f>
        <v>ETF</v>
      </c>
      <c r="F5" s="11">
        <f>_xll.YahooQuote($A5,F$2)</f>
        <v>44.34</v>
      </c>
      <c r="G5" s="13">
        <f>_xll.YahooQuote($A5,G$2)</f>
        <v>44.3</v>
      </c>
      <c r="H5" s="13">
        <f>_xll.YahooQuote($A5,H$2)</f>
        <v>44.44</v>
      </c>
      <c r="I5" s="4">
        <f>_xll.YahooQuote($A5,I$2)</f>
        <v>15625415680</v>
      </c>
      <c r="J5" s="4">
        <f>_xll.YahooQuote($A5,J$2)*F5</f>
        <v>83207557.200000003</v>
      </c>
      <c r="K5" s="5">
        <f>_xll.YahooQuote($A5,K$2)</f>
        <v>1.3528749E-2</v>
      </c>
    </row>
    <row r="6" spans="1:11" x14ac:dyDescent="0.4">
      <c r="A6" t="s">
        <v>19</v>
      </c>
      <c r="B6" t="str">
        <f>_xll.YahooQuote($A6,B$2)</f>
        <v>NEXT FUNDS TOPIX Exchange Traded Fund</v>
      </c>
      <c r="C6" t="str">
        <f>_xll.YahooQuote($A6,C$2)</f>
        <v>JPX</v>
      </c>
      <c r="D6" t="str">
        <f>_xll.YahooQuote($A6,D$2)</f>
        <v>JPY=X</v>
      </c>
      <c r="E6" t="str">
        <f>_xll.YahooQuote($A6,E$2)</f>
        <v>ETF</v>
      </c>
      <c r="F6" s="11">
        <f>_xll.YahooQuote($A6,F$2)</f>
        <v>3306</v>
      </c>
      <c r="G6" s="13">
        <f>_xll.YahooQuote($A6,G$2)</f>
        <v>3306</v>
      </c>
      <c r="H6" s="13">
        <f>_xll.YahooQuote($A6,H$2)</f>
        <v>3314</v>
      </c>
      <c r="I6" s="4" t="str">
        <f>_xll.YahooQuote($A6,I$2)</f>
        <v/>
      </c>
      <c r="J6" s="4">
        <f>_xll.YahooQuote($A6,J$2)*F6</f>
        <v>6567666540</v>
      </c>
      <c r="K6" s="5" t="str">
        <f>_xll.YahooQuote($A6,K$2)</f>
        <v/>
      </c>
    </row>
    <row r="7" spans="1:11" x14ac:dyDescent="0.4">
      <c r="A7" t="s">
        <v>20</v>
      </c>
      <c r="B7" t="str">
        <f>_xll.YahooQuote($A7,B$2)</f>
        <v/>
      </c>
      <c r="C7" t="str">
        <f>_xll.YahooQuote($A7,C$2)</f>
        <v>NYM</v>
      </c>
      <c r="D7" t="str">
        <f>_xll.YahooQuote($A7,D$2)</f>
        <v>USD=X</v>
      </c>
      <c r="E7" t="str">
        <f>_xll.YahooQuote($A7,E$2)</f>
        <v>FUTURE</v>
      </c>
      <c r="F7" s="11">
        <f>_xll.YahooQuote($A7,F$2)</f>
        <v>65.72</v>
      </c>
      <c r="G7" s="13">
        <f>_xll.YahooQuote($A7,G$2)</f>
        <v>65.16</v>
      </c>
      <c r="H7" s="13">
        <f>_xll.YahooQuote($A7,H$2)</f>
        <v>65.2</v>
      </c>
      <c r="I7" s="4" t="str">
        <f>_xll.YahooQuote($A7,I$2)</f>
        <v/>
      </c>
      <c r="J7" s="4">
        <f>_xll.YahooQuote($A7,J$2)*F7</f>
        <v>17528641.239999998</v>
      </c>
      <c r="K7" s="5" t="str">
        <f>_xll.YahooQuote($A7,K$2)</f>
        <v/>
      </c>
    </row>
    <row r="8" spans="1:11" x14ac:dyDescent="0.4">
      <c r="A8" t="s">
        <v>14</v>
      </c>
      <c r="B8" t="str">
        <f>_xll.YahooQuote($A8,B$2)</f>
        <v>EUR/USD</v>
      </c>
      <c r="C8" t="str">
        <f>_xll.YahooQuote($A8,C$2)</f>
        <v>CCY</v>
      </c>
      <c r="D8" t="str">
        <f>_xll.YahooQuote($A8,D$2)</f>
        <v>USD=X</v>
      </c>
      <c r="E8" t="str">
        <f>_xll.YahooQuote($A8,E$2)</f>
        <v>CURRENCY</v>
      </c>
      <c r="F8" s="11">
        <f>_xll.YahooQuote($A8,F$2)</f>
        <v>1.1708231</v>
      </c>
      <c r="G8" s="13">
        <f>_xll.YahooQuote($A8,G$2)</f>
        <v>1.1708231</v>
      </c>
      <c r="H8" s="13">
        <f>_xll.YahooQuote($A8,H$2)</f>
        <v>1.1701379999999999</v>
      </c>
      <c r="I8" s="4" t="str">
        <f>_xll.YahooQuote($A8,I$2)</f>
        <v/>
      </c>
      <c r="J8" s="4">
        <f>_xll.YahooQuote($A8,J$2)*F8</f>
        <v>0</v>
      </c>
      <c r="K8" s="5" t="str">
        <f>_xll.YahooQuote($A8,K$2)</f>
        <v/>
      </c>
    </row>
    <row r="9" spans="1:11" x14ac:dyDescent="0.4">
      <c r="B9" s="1"/>
      <c r="I9" s="4"/>
      <c r="J9" s="4"/>
      <c r="K9" s="5"/>
    </row>
    <row r="11" spans="1:11" x14ac:dyDescent="0.4">
      <c r="I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Properties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Shepherd</cp:lastModifiedBy>
  <dcterms:created xsi:type="dcterms:W3CDTF">2019-03-07T16:21:14Z</dcterms:created>
  <dcterms:modified xsi:type="dcterms:W3CDTF">2025-09-27T07:52:09Z</dcterms:modified>
</cp:coreProperties>
</file>